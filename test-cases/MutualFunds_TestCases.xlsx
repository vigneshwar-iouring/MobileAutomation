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Home" state="visible" r:id="rId5"/>
    <sheet sheetId="3" name="Explore" state="visible" r:id="rId6"/>
    <sheet sheetId="4" name="Portfolio" state="visible" r:id="rId7"/>
    <sheet sheetId="5" name="Accounts" state="visible" r:id="rId8"/>
  </sheets>
  <calcPr calcId="171027"/>
</workbook>
</file>

<file path=xl/sharedStrings.xml><?xml version="1.0" encoding="utf-8"?>
<sst xmlns="http://schemas.openxmlformats.org/spreadsheetml/2006/main" count="942" uniqueCount="383">
  <si>
    <t>Globe Capital - Mutual Funds Test Cases</t>
  </si>
  <si>
    <t>App: com.iouring.globecapital   |   Suite runner: node tests/MutualFunds/RunAll.test.js</t>
  </si>
  <si>
    <t>Module</t>
  </si>
  <si>
    <t>Automation Script</t>
  </si>
  <si>
    <t>Total</t>
  </si>
  <si>
    <t>High</t>
  </si>
  <si>
    <t>Medium</t>
  </si>
  <si>
    <t>Low</t>
  </si>
  <si>
    <t>Passed</t>
  </si>
  <si>
    <t>Home</t>
  </si>
  <si>
    <t>tests/MutualFunds/Home.test.js</t>
  </si>
  <si>
    <t>Explore</t>
  </si>
  <si>
    <t>tests/MutualFunds/Explore.test.js</t>
  </si>
  <si>
    <t>Portfolio</t>
  </si>
  <si>
    <t>tests/MutualFunds/Portfolio.test.js</t>
  </si>
  <si>
    <t>Accounts</t>
  </si>
  <si>
    <t>tests/MutualFunds/Accounts.test.js</t>
  </si>
  <si>
    <t/>
  </si>
  <si>
    <t>TC ID</t>
  </si>
  <si>
    <t>Script Ref</t>
  </si>
  <si>
    <t>Test Scenario</t>
  </si>
  <si>
    <t>Pre-condition</t>
  </si>
  <si>
    <t>Test Steps</t>
  </si>
  <si>
    <t>Test Data</t>
  </si>
  <si>
    <t>Expected Result</t>
  </si>
  <si>
    <t>Priority</t>
  </si>
  <si>
    <t>Automated</t>
  </si>
  <si>
    <t>Actual Result</t>
  </si>
  <si>
    <t>Status</t>
  </si>
  <si>
    <t>Remarks</t>
  </si>
  <si>
    <t>MF_HOME_01</t>
  </si>
  <si>
    <t>TC 1</t>
  </si>
  <si>
    <t>Open Mutual Funds from bottom navigation</t>
  </si>
  <si>
    <t>User is logged in to Globe Capital app; app is on Watchlist/Home screen</t>
  </si>
  <si>
    <t>1. Tap "Mutual Funds" in the bottom navigation bar</t>
  </si>
  <si>
    <t>-</t>
  </si>
  <si>
    <t>1. Mutual Funds screen opens</t>
  </si>
  <si>
    <t>Yes</t>
  </si>
  <si>
    <t>MF_HOME_02</t>
  </si>
  <si>
    <t>TC 2</t>
  </si>
  <si>
    <t>Home tab - portfolio summary is displayed</t>
  </si>
  <si>
    <t>Mutual Funds screen is open</t>
  </si>
  <si>
    <t xml:space="preserve">1. Tap the Home tab
2. Read the portfolio summary card</t>
  </si>
  <si>
    <t xml:space="preserve">1. Home tab is selected
2. Portfolio summary card is displayed with all fields populated (invested, current value, returns etc.)</t>
  </si>
  <si>
    <t>MF_HOME_03</t>
  </si>
  <si>
    <t>TC 3</t>
  </si>
  <si>
    <t>Handpick Collections - High Returns count and list scroll</t>
  </si>
  <si>
    <t>Home tab is open</t>
  </si>
  <si>
    <t xml:space="preserve">1. Note the fund count shown on the "High Returns" tile
2. Tap the "High Returns" tile
3. Note the fund count in the list header
4. Scroll the list to the bottom, then back to the top</t>
  </si>
  <si>
    <t>Collection: High Returns</t>
  </si>
  <si>
    <t xml:space="preserve">1. Tile fund count equals the list header fund count
2. List scrolls to the bottom and back to the top without errors</t>
  </si>
  <si>
    <t>MF_HOME_04</t>
  </si>
  <si>
    <t>TC 4</t>
  </si>
  <si>
    <t>Open fund detail from High Returns list</t>
  </si>
  <si>
    <t>High Returns list is open</t>
  </si>
  <si>
    <t>1. Tap the first fund in the list</t>
  </si>
  <si>
    <t>1. Fund detail screen opens for the selected fund</t>
  </si>
  <si>
    <t>MF_HOME_05</t>
  </si>
  <si>
    <t>TC 5</t>
  </si>
  <si>
    <t>One Time and Start SIP order pad defaults</t>
  </si>
  <si>
    <t>Fund detail screen is open</t>
  </si>
  <si>
    <t xml:space="preserve">1. Tap "One Time"
2. Read default amount and the "Min. ₹..." text
3. Tap the quick-add amount button
4. Go back
5. Tap "Start SIP" (if available) and repeat the checks
6. Go back</t>
  </si>
  <si>
    <t xml:space="preserve">1. One Time: default amount equals the minimum amount shown
2. One Time: amount increases after quick-add
3. Start SIP (if applicable): default equals minimum and quick-add increases amount
4. If Start SIP is not available / does not open an order pad, step is skipped</t>
  </si>
  <si>
    <t>MF_HOME_06</t>
  </si>
  <si>
    <t>TC 6</t>
  </si>
  <si>
    <t>NAV with date and Annualised return</t>
  </si>
  <si>
    <t xml:space="preserve">1. Read "NAV as on &lt;date&gt;" value
2. Read "Annualised" value</t>
  </si>
  <si>
    <t xml:space="preserve">1. NAV and Annualised values are displayed
2. NAV date is on or before today (never a future date)</t>
  </si>
  <si>
    <t>MF_HOME_07</t>
  </si>
  <si>
    <t>TC 7</t>
  </si>
  <si>
    <t>Fund additional info</t>
  </si>
  <si>
    <t>1. Read Min. Invest Amt, Total Assets and Exit Load</t>
  </si>
  <si>
    <t>1. Min. Invest Amt, Total Assets and Exit Load are displayed with values</t>
  </si>
  <si>
    <t>MF_HOME_08</t>
  </si>
  <si>
    <t>TC 8</t>
  </si>
  <si>
    <t>Annualised return period options</t>
  </si>
  <si>
    <t xml:space="preserve">1. Open the Annualised return period picker
2. Select each available option in turn
3. Read NAV/Annualised for each</t>
  </si>
  <si>
    <t xml:space="preserve">1. Picker lists the available periods; first period is selected by default
2. Annualised value updates for each selected period
3. NAV date remains on or before today</t>
  </si>
  <si>
    <t>MF_HOME_09</t>
  </si>
  <si>
    <t>TC 9</t>
  </si>
  <si>
    <t>Chart period tabs</t>
  </si>
  <si>
    <t>1. Tap each chart period tab starting from threeMonths up to max</t>
  </si>
  <si>
    <t>1. Each chart period tab is selectable and chart updates</t>
  </si>
  <si>
    <t>MF_HOME_10</t>
  </si>
  <si>
    <t>TC 10</t>
  </si>
  <si>
    <t>Peer Comparison section</t>
  </si>
  <si>
    <t xml:space="preserve">1. Scroll to "Peer Comparison"
2. Tap "View More" if present
3. Cycle through each return period option</t>
  </si>
  <si>
    <t xml:space="preserve">1. Peer Comparison section is displayed
2. View More expands the list (when shown)
3. Each return period option can be selected</t>
  </si>
  <si>
    <t>MF_HOME_11</t>
  </si>
  <si>
    <t>TC 11</t>
  </si>
  <si>
    <t>Funds in this Category section</t>
  </si>
  <si>
    <t xml:space="preserve">1. Scroll to the bottom
2. Locate "Funds in this Category"
3. Tap "View More" if present
4. Cycle through each return period option</t>
  </si>
  <si>
    <t xml:space="preserve">1. Section is displayed (if applicable)
2. Each return period option can be selected</t>
  </si>
  <si>
    <t>MF_HOME_12</t>
  </si>
  <si>
    <t>TC 12</t>
  </si>
  <si>
    <t>Collection list return period filter</t>
  </si>
  <si>
    <t xml:space="preserve">1. Go back to the High Returns list
2. Open the return period filter
3. Select 1Y (default), 3Y and 5Y</t>
  </si>
  <si>
    <t>Periods: 1Y, 3Y, 5Y</t>
  </si>
  <si>
    <t xml:space="preserve">1. 1Y is selected by default
2. List updates for 3Y and 5Y</t>
  </si>
  <si>
    <t>MF_HOME_13</t>
  </si>
  <si>
    <t>TC 13</t>
  </si>
  <si>
    <t>Navigate back to MF Home</t>
  </si>
  <si>
    <t>1. Press back until MF Home is displayed</t>
  </si>
  <si>
    <t>1. MF Home tab is displayed</t>
  </si>
  <si>
    <t>MF_HOME_14</t>
  </si>
  <si>
    <t>TC 14</t>
  </si>
  <si>
    <t>Remaining Handpick Collections - count check</t>
  </si>
  <si>
    <t>MF Home tab is open</t>
  </si>
  <si>
    <t>1. For each collection: note tile count, open the collection, note list header count, go back to Home</t>
  </si>
  <si>
    <t>Collections: Debt, Tax Saving, Large Cap, Mid Cap, Small Cap</t>
  </si>
  <si>
    <t>1. For every collection, tile count equals list header count</t>
  </si>
  <si>
    <t>MF_HOME_15</t>
  </si>
  <si>
    <t>TC 15</t>
  </si>
  <si>
    <t>Global Mutual Fund search</t>
  </si>
  <si>
    <t xml:space="preserve">1. Tap the search icon near Handpick Collections
2. Enter "tata"</t>
  </si>
  <si>
    <t>Search: tata</t>
  </si>
  <si>
    <t xml:space="preserve">1. Search results are shown
2. Every result contains "tata"</t>
  </si>
  <si>
    <t>MF_HOME_16</t>
  </si>
  <si>
    <t>TC 16</t>
  </si>
  <si>
    <t>Navigate back to MF Home from search</t>
  </si>
  <si>
    <t>Search results are shown</t>
  </si>
  <si>
    <t>MF_HOME_17</t>
  </si>
  <si>
    <t>TC 17</t>
  </si>
  <si>
    <t>New Fund Offering (NFO) - list, dates and remaining time</t>
  </si>
  <si>
    <t xml:space="preserve">1. Tap "Invest in New Fund Offering" banner
2. Scroll the NFO list to the bottom
3. Tap the last NFO fund
4. Read Open Date, Close Date, Allotment Date
5. Read the "NFO will close in N days" banner</t>
  </si>
  <si>
    <t xml:space="preserve">1. NFO list opens and scrolls to the bottom
2. NFO detail shows Open/Close/Allotment dates
3. Days stated in the banner equal the days computed from today to Close Date</t>
  </si>
  <si>
    <t>MF_HOME_18</t>
  </si>
  <si>
    <t>TC 18</t>
  </si>
  <si>
    <t>NFO minimum investment amount</t>
  </si>
  <si>
    <t>NFO detail screen is open</t>
  </si>
  <si>
    <t>1. Read "Minimum Investment Amount"</t>
  </si>
  <si>
    <t>1. Minimum Investment Amount is displayed with a value</t>
  </si>
  <si>
    <t>MF_HOME_19</t>
  </si>
  <si>
    <t>TC 19</t>
  </si>
  <si>
    <t>NFO order pads</t>
  </si>
  <si>
    <t xml:space="preserve">1. Scroll to bottom then back to top
2. Tap "One Time" and verify defaults, go back
3. Tap "Start SIP" (if applicable) and verify defaults, go back</t>
  </si>
  <si>
    <t xml:space="preserve">1. Default amount equals minimum amount; quick-add increases amount
2. Start SIP step is skipped for NFOs where it does not open an order pad (e.g. ETF/Index NFOs)</t>
  </si>
  <si>
    <t>MF_HOME_20</t>
  </si>
  <si>
    <t>TC 20</t>
  </si>
  <si>
    <t>Navigate back to MF Home from NFO</t>
  </si>
  <si>
    <t>MF_HOME_21</t>
  </si>
  <si>
    <t>TC 21</t>
  </si>
  <si>
    <t>Trending Funds - 3Y return and categories</t>
  </si>
  <si>
    <t xml:space="preserve">1. Scroll Home to the bottom
2. Change Trending Funds return period to "3 Years Return"
3. For Equity, Debt and Hybrid: select the category, open the first fund, go back</t>
  </si>
  <si>
    <t>Period: 3 Years Return; Categories: Equity, Debt, Hybrid</t>
  </si>
  <si>
    <t xml:space="preserve">1. Return period changes to 3Y
2. Each category tab lists funds and the first fund detail opens</t>
  </si>
  <si>
    <t>MF_EXP_01</t>
  </si>
  <si>
    <t>MF_EXP_02</t>
  </si>
  <si>
    <t>TC 22</t>
  </si>
  <si>
    <t>Open Explore tab</t>
  </si>
  <si>
    <t>1. Tap the Explore tab</t>
  </si>
  <si>
    <t>1. Explore tab is displayed with Category Solutions</t>
  </si>
  <si>
    <t>MF_EXP_03</t>
  </si>
  <si>
    <t>TC 23</t>
  </si>
  <si>
    <t>Category Solutions headers</t>
  </si>
  <si>
    <t>Explore tab is open</t>
  </si>
  <si>
    <t xml:space="preserve">1. Scroll through Category Solutions
2. Count the distinct category headers</t>
  </si>
  <si>
    <t>1. All category headers are listed (Equity, Debt, Hybrid, Index Fund, Funds of Funds, Solution Oriented)</t>
  </si>
  <si>
    <t>MF_EXP_04</t>
  </si>
  <si>
    <t>TC 24</t>
  </si>
  <si>
    <t>Expand Equity category and read tags</t>
  </si>
  <si>
    <t xml:space="preserve">1. Scroll back to top
2. Note the fund count on the Equity card
3. Tap the Equity card
4. Scroll to the category tags
5. Read tags in order</t>
  </si>
  <si>
    <t>Category: Equity</t>
  </si>
  <si>
    <t xml:space="preserve">1. Equity card shows a fund count
2. Equity expands and shows its sub-category tags, starting with "All"</t>
  </si>
  <si>
    <t>MF_EXP_05</t>
  </si>
  <si>
    <t>TC 25</t>
  </si>
  <si>
    <t>Equity "All" count matches card count</t>
  </si>
  <si>
    <t>Equity category is expanded</t>
  </si>
  <si>
    <t xml:space="preserve">1. Tap the "All" tag
2. Read the results count</t>
  </si>
  <si>
    <t>Tag: All</t>
  </si>
  <si>
    <t>1. "All" results count equals the fund count on the Equity card</t>
  </si>
  <si>
    <t>MF_EXP_06</t>
  </si>
  <si>
    <t>TC 26</t>
  </si>
  <si>
    <t>Open first Equity fund</t>
  </si>
  <si>
    <t>Equity - All list is open</t>
  </si>
  <si>
    <t>1. Tap the first fund</t>
  </si>
  <si>
    <t>1. Fund detail screen opens</t>
  </si>
  <si>
    <t>MF_EXP_07</t>
  </si>
  <si>
    <t>TC 27</t>
  </si>
  <si>
    <t>One Time - SUBMIT disabled with empty amount</t>
  </si>
  <si>
    <t xml:space="preserve">1. Tap "One Time"
2. Clear the amount field
3. Close the keypad
4. Check SUBMIT button</t>
  </si>
  <si>
    <t>Amount: (empty)</t>
  </si>
  <si>
    <t>1. SUBMIT button is disabled when amount is empty</t>
  </si>
  <si>
    <t>MF_EXP_08</t>
  </si>
  <si>
    <t>TC 28</t>
  </si>
  <si>
    <t>Start SIP - SUBMIT disabled with empty amount</t>
  </si>
  <si>
    <t xml:space="preserve">1. Tap "Start SIP" (if applicable)
2. Clear the amount field
3. Close the keypad
4. Check SUBMIT button</t>
  </si>
  <si>
    <t xml:space="preserve">1. SUBMIT button is disabled when amount is empty
2. Skipped if Start SIP is not applicable for the fund</t>
  </si>
  <si>
    <t>MF_EXP_09</t>
  </si>
  <si>
    <t>TC 29</t>
  </si>
  <si>
    <t>Navigate back to Equity fund list</t>
  </si>
  <si>
    <t>1. Press back</t>
  </si>
  <si>
    <t>1. Equity fund list is displayed</t>
  </si>
  <si>
    <t>MF_EXP_10</t>
  </si>
  <si>
    <t>TC 30</t>
  </si>
  <si>
    <t>Local search within Equity list</t>
  </si>
  <si>
    <t>Equity fund list is open</t>
  </si>
  <si>
    <t xml:space="preserve">1. Enter "SBI" in the list search bar
2. Read the results</t>
  </si>
  <si>
    <t>Search: SBI</t>
  </si>
  <si>
    <t>1. Results are shown and every result name contains "SBI"</t>
  </si>
  <si>
    <t>MF_EXP_11</t>
  </si>
  <si>
    <t>TC 30a</t>
  </si>
  <si>
    <t>Clear local search</t>
  </si>
  <si>
    <t>SBI search results are shown</t>
  </si>
  <si>
    <t xml:space="preserve">1. Backspace to clear the search bar
2. Read the results count</t>
  </si>
  <si>
    <t>1. Search is cleared and the full list count is restored</t>
  </si>
  <si>
    <t>MF_EXP_12</t>
  </si>
  <si>
    <t>TC 31</t>
  </si>
  <si>
    <t>Add filter - next sub-category tag</t>
  </si>
  <si>
    <t xml:space="preserve">1. Tap "+"
2. Select the tag after "All"
3. Read the results count</t>
  </si>
  <si>
    <t>Tag: 2nd Equity tag</t>
  </si>
  <si>
    <t>1. Selected tag filter is applied and the list shows its results count</t>
  </si>
  <si>
    <t>MF_EXP_13</t>
  </si>
  <si>
    <t>TC 32</t>
  </si>
  <si>
    <t>Equity list return periods</t>
  </si>
  <si>
    <t xml:space="preserve">1. Change return period to "3 Years Return"
2. Change return period to "5 Years Return"
3. Go back to Explore and collapse Equity</t>
  </si>
  <si>
    <t>Periods: 3Y, 5Y</t>
  </si>
  <si>
    <t>1. List updates for each selected return period</t>
  </si>
  <si>
    <t>MF_EXP_14</t>
  </si>
  <si>
    <t>TC 33</t>
  </si>
  <si>
    <t>Repeat flow for remaining categories</t>
  </si>
  <si>
    <t xml:space="preserve">1. For each category: scroll to and expand the card, read tags, tap the first tag
2. Search "SBI" and verify results, then clear
3. Tap "+" and select the next tag (skipped for Index Fund, which has only one tag)
4. Go back and collapse the category</t>
  </si>
  <si>
    <t>Categories: Debt, Hybrid, Index Fund, Funds of Funds, Solution Oriented; Search: SBI</t>
  </si>
  <si>
    <t xml:space="preserve">1. Each category expands and shows its tags
2. SBI search returns only SBI funds
3. Next tag filter applies and shows results (where applicable)</t>
  </si>
  <si>
    <t>MF_PF_01</t>
  </si>
  <si>
    <t>Portfolio tab - summary</t>
  </si>
  <si>
    <t>User is logged in to Globe Capital app; app is on Watchlist/Home screen; account holds MF investments</t>
  </si>
  <si>
    <t xml:space="preserve">1. Open Mutual Funds
2. Tap the Portfolio tab
3. Read the portfolio summary</t>
  </si>
  <si>
    <t>1. Portfolio tab is displayed with the summary populated</t>
  </si>
  <si>
    <t>MF_PF_02</t>
  </si>
  <si>
    <t>Active SIPs count matches Manage SIP</t>
  </si>
  <si>
    <t>Portfolio tab is open; account has at least one active SIP</t>
  </si>
  <si>
    <t xml:space="preserve">1. Note the "Active SIPs" count
2. Tap the Active SIPs tile
3. Count the SIP cards on Manage SIP</t>
  </si>
  <si>
    <t xml:space="preserve">1. Manage SIP screen opens
2. Active SIPs count equals number of SIP cards listed</t>
  </si>
  <si>
    <t>MF_PF_03</t>
  </si>
  <si>
    <t>Open first Active SIP</t>
  </si>
  <si>
    <t>Manage SIP screen is open</t>
  </si>
  <si>
    <t xml:space="preserve">1. Note Name, Frequency and Amount of the first SIP
2. Tap the first SIP card</t>
  </si>
  <si>
    <t>1. SIP Detail screen opens</t>
  </si>
  <si>
    <t>MF_PF_04</t>
  </si>
  <si>
    <t>SIP Detail fields</t>
  </si>
  <si>
    <t>SIP Detail screen is open</t>
  </si>
  <si>
    <t>1. Read Name, Due Date, Amount, SIP ID, Mandate Bank, Mandate ID</t>
  </si>
  <si>
    <t xml:space="preserve">1. All fields are displayed
2. Name matches the SIP card name
3. Amount matches the SIP card amount</t>
  </si>
  <si>
    <t>MF_PF_05</t>
  </si>
  <si>
    <t>TC 34</t>
  </si>
  <si>
    <t>SIP Detail scroll</t>
  </si>
  <si>
    <t>1. Scroll to the bottom</t>
  </si>
  <si>
    <t>1. Instalment history is visible at the bottom</t>
  </si>
  <si>
    <t>MF_PF_06</t>
  </si>
  <si>
    <t>TC 35</t>
  </si>
  <si>
    <t>Navigate back to Portfolio</t>
  </si>
  <si>
    <t>1. Press back until Portfolio tab is displayed</t>
  </si>
  <si>
    <t>1. Portfolio tab is displayed</t>
  </si>
  <si>
    <t>MF_PF_07</t>
  </si>
  <si>
    <t>TC 36</t>
  </si>
  <si>
    <t>Fund holding detail</t>
  </si>
  <si>
    <t>Portfolio tab is open</t>
  </si>
  <si>
    <t xml:space="preserve">1. Tap the first fund below Active SIPs
2. Read the holding fields</t>
  </si>
  <si>
    <t>1. Holding detail shows Name, Category, Invest Amount, Current Value, Return (%), XIRR, Day Change, Day Change (%), Average NAV, Current NAV, Balance Units, Folio Number, Dividend</t>
  </si>
  <si>
    <t>MF_PF_08</t>
  </si>
  <si>
    <t>TC 37</t>
  </si>
  <si>
    <t>Redeem Fund - Folio No and Redeem All</t>
  </si>
  <si>
    <t>Fund holding detail is open</t>
  </si>
  <si>
    <t xml:space="preserve">1. Tap Actions button
2. Tap "Redeem Fund"
3. Read Folio No
4. Tap "Redeem All" (toggle on and off)
5. Go back to the Actions menu</t>
  </si>
  <si>
    <t xml:space="preserve">1. Redeem screen opens
2. Folio No equals the holding detail Folio Number
3. Redeem All can be toggled
4. No redemption is submitted</t>
  </si>
  <si>
    <t>MF_PF_09</t>
  </si>
  <si>
    <t>TC 38</t>
  </si>
  <si>
    <t>Switch Fund</t>
  </si>
  <si>
    <t>Actions menu is open</t>
  </si>
  <si>
    <t xml:space="preserve">1. Tap "Switch Fund"
2. Go back to the Actions menu</t>
  </si>
  <si>
    <t>1. Switch Fund screen opens</t>
  </si>
  <si>
    <t>MF_PF_10</t>
  </si>
  <si>
    <t>TC 39</t>
  </si>
  <si>
    <t>Transaction Details</t>
  </si>
  <si>
    <t xml:space="preserve">1. Tap "Transaction Details"
2. Go back to the Actions menu</t>
  </si>
  <si>
    <t>1. Transaction Details screen opens</t>
  </si>
  <si>
    <t>MF_PF_11</t>
  </si>
  <si>
    <t>TC 40</t>
  </si>
  <si>
    <t>Fund Overview and back to Portfolio</t>
  </si>
  <si>
    <t xml:space="preserve">1. Tap "Fund Overview"
2. Go back to the Actions menu
3. Go back to the Portfolio tab</t>
  </si>
  <si>
    <t xml:space="preserve">1. Fund Overview screen opens
2. User returns to the Portfolio tab</t>
  </si>
  <si>
    <t>MF_ACC_01</t>
  </si>
  <si>
    <t>TC 41</t>
  </si>
  <si>
    <t>MF_ACC_02</t>
  </si>
  <si>
    <t>TC 42</t>
  </si>
  <si>
    <t>Open Accounts tab</t>
  </si>
  <si>
    <t>1. Tap the Accounts tab</t>
  </si>
  <si>
    <t>1. Accounts tab is displayed with Reports, Order Book, Bank, Autopay</t>
  </si>
  <si>
    <t>MF_ACC_03</t>
  </si>
  <si>
    <t>TC 43</t>
  </si>
  <si>
    <t>Reports screen header</t>
  </si>
  <si>
    <t>Accounts tab is open</t>
  </si>
  <si>
    <t xml:space="preserve">1. Tap "Reports"
2. Read the header</t>
  </si>
  <si>
    <t>1. Reports screen opens with the correct header</t>
  </si>
  <si>
    <t>MF_ACC_04</t>
  </si>
  <si>
    <t>TC 44</t>
  </si>
  <si>
    <t>Report options</t>
  </si>
  <si>
    <t>Reports screen is open</t>
  </si>
  <si>
    <t>1. Read the listed report options in order</t>
  </si>
  <si>
    <t>1. Holdings Report, Portfolio Summary Report and Capital Gain Report are listed</t>
  </si>
  <si>
    <t>MF_ACC_05</t>
  </si>
  <si>
    <t>TC 45</t>
  </si>
  <si>
    <t>Holdings Report - As on date</t>
  </si>
  <si>
    <t xml:space="preserve">1. Tap "Holdings Report"
2. Read the "As on" date</t>
  </si>
  <si>
    <t xml:space="preserve">1. Holdings Report expands
2. "As on" date equals today</t>
  </si>
  <si>
    <t>MF_ACC_06</t>
  </si>
  <si>
    <t>TC 46</t>
  </si>
  <si>
    <t>Download Holdings Report</t>
  </si>
  <si>
    <t>Holdings Report is expanded</t>
  </si>
  <si>
    <t>1. Tap Download</t>
  </si>
  <si>
    <t>1. "Report download completed" toast is shown</t>
  </si>
  <si>
    <t>MF_ACC_07</t>
  </si>
  <si>
    <t>TC 47</t>
  </si>
  <si>
    <t>Collapse Holdings Report</t>
  </si>
  <si>
    <t>1. Tap "Holdings Report" again</t>
  </si>
  <si>
    <t>1. Holdings Report collapses</t>
  </si>
  <si>
    <t>MF_ACC_08</t>
  </si>
  <si>
    <t>TC 48</t>
  </si>
  <si>
    <t>Portfolio Summary Report - dates</t>
  </si>
  <si>
    <t xml:space="preserve">1. Tap "Portfolio Summary Report"
2. Read Start Date and End Date</t>
  </si>
  <si>
    <t xml:space="preserve">1. Start Date equals today
2. End Date equals today</t>
  </si>
  <si>
    <t>MF_ACC_09</t>
  </si>
  <si>
    <t>TC 49</t>
  </si>
  <si>
    <t>Download Portfolio Summary Report</t>
  </si>
  <si>
    <t>Portfolio Summary Report is expanded</t>
  </si>
  <si>
    <t>MF_ACC_10</t>
  </si>
  <si>
    <t>TC 50</t>
  </si>
  <si>
    <t>Collapse Portfolio Summary Report</t>
  </si>
  <si>
    <t>1. Tap "Portfolio Summary Report" again</t>
  </si>
  <si>
    <t>1. Portfolio Summary Report collapses</t>
  </si>
  <si>
    <t>MF_ACC_11</t>
  </si>
  <si>
    <t>TC 51</t>
  </si>
  <si>
    <t>Capital Gain Report - financial year</t>
  </si>
  <si>
    <t xml:space="preserve">1. Tap "Capital Gain Report"
2. Read the Financial Year</t>
  </si>
  <si>
    <t>1. Financial Year equals the current financial year (Apr-Mar)</t>
  </si>
  <si>
    <t>MF_ACC_12</t>
  </si>
  <si>
    <t>TC 52</t>
  </si>
  <si>
    <t>Download Capital Gain Report</t>
  </si>
  <si>
    <t>Capital Gain Report is expanded</t>
  </si>
  <si>
    <t>MF_ACC_13</t>
  </si>
  <si>
    <t>TC 53</t>
  </si>
  <si>
    <t>Collapse Capital Gain Report</t>
  </si>
  <si>
    <t>1. Tap "Capital Gain Report" again</t>
  </si>
  <si>
    <t>1. Capital Gain Report collapses</t>
  </si>
  <si>
    <t>MF_ACC_14</t>
  </si>
  <si>
    <t>TC 54</t>
  </si>
  <si>
    <t>Navigate back to Accounts from Reports</t>
  </si>
  <si>
    <t>1. Accounts tab is displayed</t>
  </si>
  <si>
    <t>MF_ACC_15</t>
  </si>
  <si>
    <t>TC 55</t>
  </si>
  <si>
    <t>Order Book header</t>
  </si>
  <si>
    <t xml:space="preserve">1. Tap "Order Book"
2. Read the header</t>
  </si>
  <si>
    <t>1. Order Book screen opens with the correct header</t>
  </si>
  <si>
    <t>MF_ACC_16</t>
  </si>
  <si>
    <t>TC 56</t>
  </si>
  <si>
    <t>Order Book default date range</t>
  </si>
  <si>
    <t>Order Book screen is open</t>
  </si>
  <si>
    <t>1. Read the Start and End dates of the date range</t>
  </si>
  <si>
    <t>1. Default date range is exactly 7 days</t>
  </si>
  <si>
    <t>MF_ACC_17</t>
  </si>
  <si>
    <t>TC 57</t>
  </si>
  <si>
    <t>Navigate back to Accounts from Order Book</t>
  </si>
  <si>
    <t>MF_ACC_18</t>
  </si>
  <si>
    <t>TC 58</t>
  </si>
  <si>
    <t>Banks header</t>
  </si>
  <si>
    <t xml:space="preserve">1. Tap "Bank"
2. Read the header</t>
  </si>
  <si>
    <t>1. Banks screen opens with the correct header</t>
  </si>
  <si>
    <t>MF_ACC_19</t>
  </si>
  <si>
    <t>TC 59</t>
  </si>
  <si>
    <t>Linked bank list</t>
  </si>
  <si>
    <t>Banks screen is open</t>
  </si>
  <si>
    <t xml:space="preserve">1. Check whether any banks are listed
2. Go back</t>
  </si>
  <si>
    <t xml:space="preserve">1. Linked bank names are displayed, or the list is empty if no bank is linked
2. User returns to Accounts tab</t>
  </si>
  <si>
    <t>MF_ACC_20</t>
  </si>
  <si>
    <t>TC 60</t>
  </si>
  <si>
    <t>Autopay mandates</t>
  </si>
  <si>
    <t xml:space="preserve">1. Tap "Autopay"
2. Check the mandate list</t>
  </si>
  <si>
    <t xml:space="preserve">1. If mandates exist: every mandate shows the ACTIVE tag
2. If none: the "no autopay" empty-state message is shown</t>
  </si>
  <si>
    <t>MF_ACC_21</t>
  </si>
  <si>
    <t>TC 61</t>
  </si>
  <si>
    <t>Navigate back to Accounts from Autopay</t>
  </si>
  <si>
    <t>Autopay screen is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</si>
</sst>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color rgb="FFFFFFFF"/>
    </font>
    <font>
      <b/>
    </font>
  </fonts>
  <fills count="3">
    <fill>
      <patternFill patternType="none"/>
    </fill>
    <fill>
      <patternFill patternType="gray125"/>
    </fill>
    <fill>
      <patternFill patternType="solid">
        <fgColor rgb="FF1F4E78"/>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xf numFmtId="0" fontId="0" fillId="0" borderId="1" xfId="0" applyBorder="1"/>
    <xf numFmtId="0" fontId="3" fillId="0" borderId="0" xfId="0" applyFont="1"/>
    <xf numFmtId="0" fontId="3" fillId="0" borderId="1" xfId="0" applyFont="1" applyBorder="1"/>
    <xf numFmtId="0" fontId="2"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FormatPr defaultRowHeight="15" outlineLevelRow="0" outlineLevelCol="0" x14ac:dyDescent="55"/>
  <cols>
    <col min="1" max="1" width="14" customWidth="1"/>
    <col min="2" max="2" width="38" customWidth="1"/>
    <col min="3" max="3" width="12" customWidth="1"/>
    <col min="4" max="7" width="10" customWidth="1"/>
  </cols>
  <sheetData>
    <row r="1" spans="1:1" s="1" customFormat="1" x14ac:dyDescent="0.25">
      <c r="A1" s="1" t="s">
        <v>0</v>
      </c>
    </row>
    <row r="2" spans="1:1" x14ac:dyDescent="0.25">
      <c r="A2" t="s">
        <v>1</v>
      </c>
    </row>
    <row r="4" spans="1:7" x14ac:dyDescent="0.25">
      <c r="A4" s="2" t="s">
        <v>2</v>
      </c>
      <c r="B4" s="2" t="s">
        <v>3</v>
      </c>
      <c r="C4" s="2" t="s">
        <v>4</v>
      </c>
      <c r="D4" s="2" t="s">
        <v>5</v>
      </c>
      <c r="E4" s="2" t="s">
        <v>6</v>
      </c>
      <c r="F4" s="2" t="s">
        <v>7</v>
      </c>
      <c r="G4" s="2" t="s">
        <v>8</v>
      </c>
    </row>
    <row r="5" spans="1:7" x14ac:dyDescent="0.25">
      <c r="A5" s="3" t="s">
        <v>9</v>
      </c>
      <c r="B5" s="3" t="s">
        <v>10</v>
      </c>
      <c r="C5" s="3">
        <v>21</v>
      </c>
      <c r="D5" s="3">
        <v>10</v>
      </c>
      <c r="E5" s="3">
        <v>8</v>
      </c>
      <c r="F5" s="3">
        <v>3</v>
      </c>
      <c r="G5" s="3">
        <f>COUNTIF('Home'!L2:L22,"Pass")</f>
      </c>
    </row>
    <row r="6" spans="1:7" x14ac:dyDescent="0.25">
      <c r="A6" s="3" t="s">
        <v>11</v>
      </c>
      <c r="B6" s="3" t="s">
        <v>12</v>
      </c>
      <c r="C6" s="3">
        <v>14</v>
      </c>
      <c r="D6" s="3">
        <v>9</v>
      </c>
      <c r="E6" s="3">
        <v>4</v>
      </c>
      <c r="F6" s="3">
        <v>1</v>
      </c>
      <c r="G6" s="3">
        <f>COUNTIF('Explore'!L2:L15,"Pass")</f>
      </c>
    </row>
    <row r="7" spans="1:7" x14ac:dyDescent="0.25">
      <c r="A7" s="3" t="s">
        <v>13</v>
      </c>
      <c r="B7" s="3" t="s">
        <v>14</v>
      </c>
      <c r="C7" s="3">
        <v>11</v>
      </c>
      <c r="D7" s="3">
        <v>6</v>
      </c>
      <c r="E7" s="3">
        <v>3</v>
      </c>
      <c r="F7" s="3">
        <v>2</v>
      </c>
      <c r="G7" s="3">
        <f>COUNTIF('Portfolio'!L2:L12,"Pass")</f>
      </c>
    </row>
    <row r="8" spans="1:7" x14ac:dyDescent="0.25">
      <c r="A8" s="3" t="s">
        <v>15</v>
      </c>
      <c r="B8" s="3" t="s">
        <v>16</v>
      </c>
      <c r="C8" s="3">
        <v>21</v>
      </c>
      <c r="D8" s="3">
        <v>10</v>
      </c>
      <c r="E8" s="3">
        <v>5</v>
      </c>
      <c r="F8" s="3">
        <v>6</v>
      </c>
      <c r="G8" s="3">
        <f>COUNTIF('Accounts'!L2:L22,"Pass")</f>
      </c>
    </row>
    <row r="9" spans="1:7" s="4" customFormat="1" x14ac:dyDescent="0.25">
      <c r="A9" s="5" t="s">
        <v>4</v>
      </c>
      <c r="B9" s="5" t="s">
        <v>17</v>
      </c>
      <c r="C9" s="5">
        <f>SUM(C5:C8)</f>
      </c>
      <c r="D9" s="5">
        <f>SUM(D5:D8)</f>
      </c>
      <c r="E9" s="5">
        <f>SUM(E5:E8)</f>
      </c>
      <c r="F9" s="5">
        <f>SUM(F5:F8)</f>
      </c>
      <c r="G9" s="5">
        <f>SUM(G5:G8)</f>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0" customWidth="1"/>
    <col min="3" max="3" width="12" customWidth="1"/>
    <col min="4" max="4" width="34" customWidth="1"/>
    <col min="5" max="5" width="30" customWidth="1"/>
    <col min="6" max="6" width="55" customWidth="1"/>
    <col min="7" max="7" width="24" customWidth="1"/>
    <col min="8" max="8" width="55" customWidth="1"/>
    <col min="10" max="10" width="10" customWidth="1"/>
    <col min="11" max="11" width="25" customWidth="1"/>
    <col min="12" max="12" width="10" customWidth="1"/>
    <col min="13" max="13" width="25" customWidth="1"/>
  </cols>
  <sheetData>
    <row r="1" spans="1:13" x14ac:dyDescent="0.25">
      <c r="A1" s="6" t="s">
        <v>18</v>
      </c>
      <c r="B1" s="6" t="s">
        <v>19</v>
      </c>
      <c r="C1" s="6" t="s">
        <v>2</v>
      </c>
      <c r="D1" s="6" t="s">
        <v>20</v>
      </c>
      <c r="E1" s="6" t="s">
        <v>21</v>
      </c>
      <c r="F1" s="6" t="s">
        <v>22</v>
      </c>
      <c r="G1" s="6" t="s">
        <v>23</v>
      </c>
      <c r="H1" s="6" t="s">
        <v>24</v>
      </c>
      <c r="I1" s="6" t="s">
        <v>25</v>
      </c>
      <c r="J1" s="6" t="s">
        <v>26</v>
      </c>
      <c r="K1" s="6" t="s">
        <v>27</v>
      </c>
      <c r="L1" s="6" t="s">
        <v>28</v>
      </c>
      <c r="M1" s="6" t="s">
        <v>29</v>
      </c>
    </row>
    <row r="2" spans="1:13" x14ac:dyDescent="0.25">
      <c r="A2" s="7" t="s">
        <v>30</v>
      </c>
      <c r="B2" s="7" t="s">
        <v>31</v>
      </c>
      <c r="C2" s="7" t="s">
        <v>9</v>
      </c>
      <c r="D2" s="7" t="s">
        <v>32</v>
      </c>
      <c r="E2" s="7" t="s">
        <v>33</v>
      </c>
      <c r="F2" s="7" t="s">
        <v>34</v>
      </c>
      <c r="G2" s="7" t="s">
        <v>35</v>
      </c>
      <c r="H2" s="7" t="s">
        <v>36</v>
      </c>
      <c r="I2" s="7" t="s">
        <v>5</v>
      </c>
      <c r="J2" s="7" t="s">
        <v>37</v>
      </c>
      <c r="K2" s="7" t="s">
        <v>17</v>
      </c>
      <c r="L2" s="7" t="s">
        <v>17</v>
      </c>
      <c r="M2" s="7" t="s">
        <v>17</v>
      </c>
    </row>
    <row r="3" spans="1:13" x14ac:dyDescent="0.25">
      <c r="A3" s="7" t="s">
        <v>38</v>
      </c>
      <c r="B3" s="7" t="s">
        <v>39</v>
      </c>
      <c r="C3" s="7" t="s">
        <v>9</v>
      </c>
      <c r="D3" s="7" t="s">
        <v>40</v>
      </c>
      <c r="E3" s="7" t="s">
        <v>41</v>
      </c>
      <c r="F3" s="7" t="s">
        <v>42</v>
      </c>
      <c r="G3" s="7" t="s">
        <v>35</v>
      </c>
      <c r="H3" s="7" t="s">
        <v>43</v>
      </c>
      <c r="I3" s="7" t="s">
        <v>5</v>
      </c>
      <c r="J3" s="7" t="s">
        <v>37</v>
      </c>
      <c r="K3" s="7" t="s">
        <v>17</v>
      </c>
      <c r="L3" s="7" t="s">
        <v>17</v>
      </c>
      <c r="M3" s="7" t="s">
        <v>17</v>
      </c>
    </row>
    <row r="4" spans="1:13" x14ac:dyDescent="0.25">
      <c r="A4" s="7" t="s">
        <v>44</v>
      </c>
      <c r="B4" s="7" t="s">
        <v>45</v>
      </c>
      <c r="C4" s="7" t="s">
        <v>9</v>
      </c>
      <c r="D4" s="7" t="s">
        <v>46</v>
      </c>
      <c r="E4" s="7" t="s">
        <v>47</v>
      </c>
      <c r="F4" s="7" t="s">
        <v>48</v>
      </c>
      <c r="G4" s="7" t="s">
        <v>49</v>
      </c>
      <c r="H4" s="7" t="s">
        <v>50</v>
      </c>
      <c r="I4" s="7" t="s">
        <v>5</v>
      </c>
      <c r="J4" s="7" t="s">
        <v>37</v>
      </c>
      <c r="K4" s="7" t="s">
        <v>17</v>
      </c>
      <c r="L4" s="7" t="s">
        <v>17</v>
      </c>
      <c r="M4" s="7" t="s">
        <v>17</v>
      </c>
    </row>
    <row r="5" spans="1:13" x14ac:dyDescent="0.25">
      <c r="A5" s="7" t="s">
        <v>51</v>
      </c>
      <c r="B5" s="7" t="s">
        <v>52</v>
      </c>
      <c r="C5" s="7" t="s">
        <v>9</v>
      </c>
      <c r="D5" s="7" t="s">
        <v>53</v>
      </c>
      <c r="E5" s="7" t="s">
        <v>54</v>
      </c>
      <c r="F5" s="7" t="s">
        <v>55</v>
      </c>
      <c r="G5" s="7" t="s">
        <v>35</v>
      </c>
      <c r="H5" s="7" t="s">
        <v>56</v>
      </c>
      <c r="I5" s="7" t="s">
        <v>5</v>
      </c>
      <c r="J5" s="7" t="s">
        <v>37</v>
      </c>
      <c r="K5" s="7" t="s">
        <v>17</v>
      </c>
      <c r="L5" s="7" t="s">
        <v>17</v>
      </c>
      <c r="M5" s="7" t="s">
        <v>17</v>
      </c>
    </row>
    <row r="6" spans="1:13" x14ac:dyDescent="0.25">
      <c r="A6" s="7" t="s">
        <v>57</v>
      </c>
      <c r="B6" s="7" t="s">
        <v>58</v>
      </c>
      <c r="C6" s="7" t="s">
        <v>9</v>
      </c>
      <c r="D6" s="7" t="s">
        <v>59</v>
      </c>
      <c r="E6" s="7" t="s">
        <v>60</v>
      </c>
      <c r="F6" s="7" t="s">
        <v>61</v>
      </c>
      <c r="G6" s="7" t="s">
        <v>35</v>
      </c>
      <c r="H6" s="7" t="s">
        <v>62</v>
      </c>
      <c r="I6" s="7" t="s">
        <v>5</v>
      </c>
      <c r="J6" s="7" t="s">
        <v>37</v>
      </c>
      <c r="K6" s="7" t="s">
        <v>17</v>
      </c>
      <c r="L6" s="7" t="s">
        <v>17</v>
      </c>
      <c r="M6" s="7" t="s">
        <v>17</v>
      </c>
    </row>
    <row r="7" spans="1:13" x14ac:dyDescent="0.25">
      <c r="A7" s="7" t="s">
        <v>63</v>
      </c>
      <c r="B7" s="7" t="s">
        <v>64</v>
      </c>
      <c r="C7" s="7" t="s">
        <v>9</v>
      </c>
      <c r="D7" s="7" t="s">
        <v>65</v>
      </c>
      <c r="E7" s="7" t="s">
        <v>60</v>
      </c>
      <c r="F7" s="7" t="s">
        <v>66</v>
      </c>
      <c r="G7" s="7" t="s">
        <v>35</v>
      </c>
      <c r="H7" s="7" t="s">
        <v>67</v>
      </c>
      <c r="I7" s="7" t="s">
        <v>5</v>
      </c>
      <c r="J7" s="7" t="s">
        <v>37</v>
      </c>
      <c r="K7" s="7" t="s">
        <v>17</v>
      </c>
      <c r="L7" s="7" t="s">
        <v>17</v>
      </c>
      <c r="M7" s="7" t="s">
        <v>17</v>
      </c>
    </row>
    <row r="8" spans="1:13" x14ac:dyDescent="0.25">
      <c r="A8" s="7" t="s">
        <v>68</v>
      </c>
      <c r="B8" s="7" t="s">
        <v>69</v>
      </c>
      <c r="C8" s="7" t="s">
        <v>9</v>
      </c>
      <c r="D8" s="7" t="s">
        <v>70</v>
      </c>
      <c r="E8" s="7" t="s">
        <v>60</v>
      </c>
      <c r="F8" s="7" t="s">
        <v>71</v>
      </c>
      <c r="G8" s="7" t="s">
        <v>35</v>
      </c>
      <c r="H8" s="7" t="s">
        <v>72</v>
      </c>
      <c r="I8" s="7" t="s">
        <v>6</v>
      </c>
      <c r="J8" s="7" t="s">
        <v>37</v>
      </c>
      <c r="K8" s="7" t="s">
        <v>17</v>
      </c>
      <c r="L8" s="7" t="s">
        <v>17</v>
      </c>
      <c r="M8" s="7" t="s">
        <v>17</v>
      </c>
    </row>
    <row r="9" spans="1:13" x14ac:dyDescent="0.25">
      <c r="A9" s="7" t="s">
        <v>73</v>
      </c>
      <c r="B9" s="7" t="s">
        <v>74</v>
      </c>
      <c r="C9" s="7" t="s">
        <v>9</v>
      </c>
      <c r="D9" s="7" t="s">
        <v>75</v>
      </c>
      <c r="E9" s="7" t="s">
        <v>60</v>
      </c>
      <c r="F9" s="7" t="s">
        <v>76</v>
      </c>
      <c r="G9" s="7" t="s">
        <v>35</v>
      </c>
      <c r="H9" s="7" t="s">
        <v>77</v>
      </c>
      <c r="I9" s="7" t="s">
        <v>6</v>
      </c>
      <c r="J9" s="7" t="s">
        <v>37</v>
      </c>
      <c r="K9" s="7" t="s">
        <v>17</v>
      </c>
      <c r="L9" s="7" t="s">
        <v>17</v>
      </c>
      <c r="M9" s="7" t="s">
        <v>17</v>
      </c>
    </row>
    <row r="10" spans="1:13" x14ac:dyDescent="0.25">
      <c r="A10" s="7" t="s">
        <v>78</v>
      </c>
      <c r="B10" s="7" t="s">
        <v>79</v>
      </c>
      <c r="C10" s="7" t="s">
        <v>9</v>
      </c>
      <c r="D10" s="7" t="s">
        <v>80</v>
      </c>
      <c r="E10" s="7" t="s">
        <v>60</v>
      </c>
      <c r="F10" s="7" t="s">
        <v>81</v>
      </c>
      <c r="G10" s="7" t="s">
        <v>35</v>
      </c>
      <c r="H10" s="7" t="s">
        <v>82</v>
      </c>
      <c r="I10" s="7" t="s">
        <v>6</v>
      </c>
      <c r="J10" s="7" t="s">
        <v>37</v>
      </c>
      <c r="K10" s="7" t="s">
        <v>17</v>
      </c>
      <c r="L10" s="7" t="s">
        <v>17</v>
      </c>
      <c r="M10" s="7" t="s">
        <v>17</v>
      </c>
    </row>
    <row r="11" spans="1:13" x14ac:dyDescent="0.25">
      <c r="A11" s="7" t="s">
        <v>83</v>
      </c>
      <c r="B11" s="7" t="s">
        <v>84</v>
      </c>
      <c r="C11" s="7" t="s">
        <v>9</v>
      </c>
      <c r="D11" s="7" t="s">
        <v>85</v>
      </c>
      <c r="E11" s="7" t="s">
        <v>60</v>
      </c>
      <c r="F11" s="7" t="s">
        <v>86</v>
      </c>
      <c r="G11" s="7" t="s">
        <v>35</v>
      </c>
      <c r="H11" s="7" t="s">
        <v>87</v>
      </c>
      <c r="I11" s="7" t="s">
        <v>6</v>
      </c>
      <c r="J11" s="7" t="s">
        <v>37</v>
      </c>
      <c r="K11" s="7" t="s">
        <v>17</v>
      </c>
      <c r="L11" s="7" t="s">
        <v>17</v>
      </c>
      <c r="M11" s="7" t="s">
        <v>17</v>
      </c>
    </row>
    <row r="12" spans="1:13" x14ac:dyDescent="0.25">
      <c r="A12" s="7" t="s">
        <v>88</v>
      </c>
      <c r="B12" s="7" t="s">
        <v>89</v>
      </c>
      <c r="C12" s="7" t="s">
        <v>9</v>
      </c>
      <c r="D12" s="7" t="s">
        <v>90</v>
      </c>
      <c r="E12" s="7" t="s">
        <v>60</v>
      </c>
      <c r="F12" s="7" t="s">
        <v>91</v>
      </c>
      <c r="G12" s="7" t="s">
        <v>35</v>
      </c>
      <c r="H12" s="7" t="s">
        <v>92</v>
      </c>
      <c r="I12" s="7" t="s">
        <v>6</v>
      </c>
      <c r="J12" s="7" t="s">
        <v>37</v>
      </c>
      <c r="K12" s="7" t="s">
        <v>17</v>
      </c>
      <c r="L12" s="7" t="s">
        <v>17</v>
      </c>
      <c r="M12" s="7" t="s">
        <v>17</v>
      </c>
    </row>
    <row r="13" spans="1:13" x14ac:dyDescent="0.25">
      <c r="A13" s="7" t="s">
        <v>93</v>
      </c>
      <c r="B13" s="7" t="s">
        <v>94</v>
      </c>
      <c r="C13" s="7" t="s">
        <v>9</v>
      </c>
      <c r="D13" s="7" t="s">
        <v>95</v>
      </c>
      <c r="E13" s="7" t="s">
        <v>60</v>
      </c>
      <c r="F13" s="7" t="s">
        <v>96</v>
      </c>
      <c r="G13" s="7" t="s">
        <v>97</v>
      </c>
      <c r="H13" s="7" t="s">
        <v>98</v>
      </c>
      <c r="I13" s="7" t="s">
        <v>6</v>
      </c>
      <c r="J13" s="7" t="s">
        <v>37</v>
      </c>
      <c r="K13" s="7" t="s">
        <v>17</v>
      </c>
      <c r="L13" s="7" t="s">
        <v>17</v>
      </c>
      <c r="M13" s="7" t="s">
        <v>17</v>
      </c>
    </row>
    <row r="14" spans="1:13" x14ac:dyDescent="0.25">
      <c r="A14" s="7" t="s">
        <v>99</v>
      </c>
      <c r="B14" s="7" t="s">
        <v>100</v>
      </c>
      <c r="C14" s="7" t="s">
        <v>9</v>
      </c>
      <c r="D14" s="7" t="s">
        <v>101</v>
      </c>
      <c r="E14" s="7" t="s">
        <v>54</v>
      </c>
      <c r="F14" s="7" t="s">
        <v>102</v>
      </c>
      <c r="G14" s="7" t="s">
        <v>35</v>
      </c>
      <c r="H14" s="7" t="s">
        <v>103</v>
      </c>
      <c r="I14" s="7" t="s">
        <v>7</v>
      </c>
      <c r="J14" s="7" t="s">
        <v>37</v>
      </c>
      <c r="K14" s="7" t="s">
        <v>17</v>
      </c>
      <c r="L14" s="7" t="s">
        <v>17</v>
      </c>
      <c r="M14" s="7" t="s">
        <v>17</v>
      </c>
    </row>
    <row r="15" spans="1:13" x14ac:dyDescent="0.25">
      <c r="A15" s="7" t="s">
        <v>104</v>
      </c>
      <c r="B15" s="7" t="s">
        <v>105</v>
      </c>
      <c r="C15" s="7" t="s">
        <v>9</v>
      </c>
      <c r="D15" s="7" t="s">
        <v>106</v>
      </c>
      <c r="E15" s="7" t="s">
        <v>107</v>
      </c>
      <c r="F15" s="7" t="s">
        <v>108</v>
      </c>
      <c r="G15" s="7" t="s">
        <v>109</v>
      </c>
      <c r="H15" s="7" t="s">
        <v>110</v>
      </c>
      <c r="I15" s="7" t="s">
        <v>5</v>
      </c>
      <c r="J15" s="7" t="s">
        <v>37</v>
      </c>
      <c r="K15" s="7" t="s">
        <v>17</v>
      </c>
      <c r="L15" s="7" t="s">
        <v>17</v>
      </c>
      <c r="M15" s="7" t="s">
        <v>17</v>
      </c>
    </row>
    <row r="16" spans="1:13" x14ac:dyDescent="0.25">
      <c r="A16" s="7" t="s">
        <v>111</v>
      </c>
      <c r="B16" s="7" t="s">
        <v>112</v>
      </c>
      <c r="C16" s="7" t="s">
        <v>9</v>
      </c>
      <c r="D16" s="7" t="s">
        <v>113</v>
      </c>
      <c r="E16" s="7" t="s">
        <v>107</v>
      </c>
      <c r="F16" s="7" t="s">
        <v>114</v>
      </c>
      <c r="G16" s="7" t="s">
        <v>115</v>
      </c>
      <c r="H16" s="7" t="s">
        <v>116</v>
      </c>
      <c r="I16" s="7" t="s">
        <v>5</v>
      </c>
      <c r="J16" s="7" t="s">
        <v>37</v>
      </c>
      <c r="K16" s="7" t="s">
        <v>17</v>
      </c>
      <c r="L16" s="7" t="s">
        <v>17</v>
      </c>
      <c r="M16" s="7" t="s">
        <v>17</v>
      </c>
    </row>
    <row r="17" spans="1:13" x14ac:dyDescent="0.25">
      <c r="A17" s="7" t="s">
        <v>117</v>
      </c>
      <c r="B17" s="7" t="s">
        <v>118</v>
      </c>
      <c r="C17" s="7" t="s">
        <v>9</v>
      </c>
      <c r="D17" s="7" t="s">
        <v>119</v>
      </c>
      <c r="E17" s="7" t="s">
        <v>120</v>
      </c>
      <c r="F17" s="7" t="s">
        <v>102</v>
      </c>
      <c r="G17" s="7" t="s">
        <v>35</v>
      </c>
      <c r="H17" s="7" t="s">
        <v>103</v>
      </c>
      <c r="I17" s="7" t="s">
        <v>7</v>
      </c>
      <c r="J17" s="7" t="s">
        <v>37</v>
      </c>
      <c r="K17" s="7" t="s">
        <v>17</v>
      </c>
      <c r="L17" s="7" t="s">
        <v>17</v>
      </c>
      <c r="M17" s="7" t="s">
        <v>17</v>
      </c>
    </row>
    <row r="18" spans="1:13" x14ac:dyDescent="0.25">
      <c r="A18" s="7" t="s">
        <v>121</v>
      </c>
      <c r="B18" s="7" t="s">
        <v>122</v>
      </c>
      <c r="C18" s="7" t="s">
        <v>9</v>
      </c>
      <c r="D18" s="7" t="s">
        <v>123</v>
      </c>
      <c r="E18" s="7" t="s">
        <v>107</v>
      </c>
      <c r="F18" s="7" t="s">
        <v>124</v>
      </c>
      <c r="G18" s="7" t="s">
        <v>35</v>
      </c>
      <c r="H18" s="7" t="s">
        <v>125</v>
      </c>
      <c r="I18" s="7" t="s">
        <v>5</v>
      </c>
      <c r="J18" s="7" t="s">
        <v>37</v>
      </c>
      <c r="K18" s="7" t="s">
        <v>17</v>
      </c>
      <c r="L18" s="7" t="s">
        <v>17</v>
      </c>
      <c r="M18" s="7" t="s">
        <v>17</v>
      </c>
    </row>
    <row r="19" spans="1:13" x14ac:dyDescent="0.25">
      <c r="A19" s="7" t="s">
        <v>126</v>
      </c>
      <c r="B19" s="7" t="s">
        <v>127</v>
      </c>
      <c r="C19" s="7" t="s">
        <v>9</v>
      </c>
      <c r="D19" s="7" t="s">
        <v>128</v>
      </c>
      <c r="E19" s="7" t="s">
        <v>129</v>
      </c>
      <c r="F19" s="7" t="s">
        <v>130</v>
      </c>
      <c r="G19" s="7" t="s">
        <v>35</v>
      </c>
      <c r="H19" s="7" t="s">
        <v>131</v>
      </c>
      <c r="I19" s="7" t="s">
        <v>6</v>
      </c>
      <c r="J19" s="7" t="s">
        <v>37</v>
      </c>
      <c r="K19" s="7" t="s">
        <v>17</v>
      </c>
      <c r="L19" s="7" t="s">
        <v>17</v>
      </c>
      <c r="M19" s="7" t="s">
        <v>17</v>
      </c>
    </row>
    <row r="20" spans="1:13" x14ac:dyDescent="0.25">
      <c r="A20" s="7" t="s">
        <v>132</v>
      </c>
      <c r="B20" s="7" t="s">
        <v>133</v>
      </c>
      <c r="C20" s="7" t="s">
        <v>9</v>
      </c>
      <c r="D20" s="7" t="s">
        <v>134</v>
      </c>
      <c r="E20" s="7" t="s">
        <v>129</v>
      </c>
      <c r="F20" s="7" t="s">
        <v>135</v>
      </c>
      <c r="G20" s="7" t="s">
        <v>35</v>
      </c>
      <c r="H20" s="7" t="s">
        <v>136</v>
      </c>
      <c r="I20" s="7" t="s">
        <v>5</v>
      </c>
      <c r="J20" s="7" t="s">
        <v>37</v>
      </c>
      <c r="K20" s="7" t="s">
        <v>17</v>
      </c>
      <c r="L20" s="7" t="s">
        <v>17</v>
      </c>
      <c r="M20" s="7" t="s">
        <v>17</v>
      </c>
    </row>
    <row r="21" spans="1:13" x14ac:dyDescent="0.25">
      <c r="A21" s="7" t="s">
        <v>137</v>
      </c>
      <c r="B21" s="7" t="s">
        <v>138</v>
      </c>
      <c r="C21" s="7" t="s">
        <v>9</v>
      </c>
      <c r="D21" s="7" t="s">
        <v>139</v>
      </c>
      <c r="E21" s="7" t="s">
        <v>129</v>
      </c>
      <c r="F21" s="7" t="s">
        <v>102</v>
      </c>
      <c r="G21" s="7" t="s">
        <v>35</v>
      </c>
      <c r="H21" s="7" t="s">
        <v>103</v>
      </c>
      <c r="I21" s="7" t="s">
        <v>7</v>
      </c>
      <c r="J21" s="7" t="s">
        <v>37</v>
      </c>
      <c r="K21" s="7" t="s">
        <v>17</v>
      </c>
      <c r="L21" s="7" t="s">
        <v>17</v>
      </c>
      <c r="M21" s="7" t="s">
        <v>17</v>
      </c>
    </row>
    <row r="22" spans="1:13" x14ac:dyDescent="0.25">
      <c r="A22" s="7" t="s">
        <v>140</v>
      </c>
      <c r="B22" s="7" t="s">
        <v>141</v>
      </c>
      <c r="C22" s="7" t="s">
        <v>9</v>
      </c>
      <c r="D22" s="7" t="s">
        <v>142</v>
      </c>
      <c r="E22" s="7" t="s">
        <v>107</v>
      </c>
      <c r="F22" s="7" t="s">
        <v>143</v>
      </c>
      <c r="G22" s="7" t="s">
        <v>144</v>
      </c>
      <c r="H22" s="7" t="s">
        <v>145</v>
      </c>
      <c r="I22" s="7" t="s">
        <v>6</v>
      </c>
      <c r="J22" s="7" t="s">
        <v>37</v>
      </c>
      <c r="K22" s="7" t="s">
        <v>17</v>
      </c>
      <c r="L22" s="7" t="s">
        <v>17</v>
      </c>
      <c r="M22" s="7" t="s">
        <v>17</v>
      </c>
    </row>
  </sheetData>
  <autoFilter ref="A1:M1"/>
  <dataValidations count="1">
    <dataValidation type="list" allowBlank="1" sqref="L2:L22">
      <formula1>"Pass,Fail,Blocked,Skipped,Not Run"</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0" customWidth="1"/>
    <col min="3" max="3" width="12" customWidth="1"/>
    <col min="4" max="4" width="34" customWidth="1"/>
    <col min="5" max="5" width="30" customWidth="1"/>
    <col min="6" max="6" width="55" customWidth="1"/>
    <col min="7" max="7" width="24" customWidth="1"/>
    <col min="8" max="8" width="55" customWidth="1"/>
    <col min="10" max="10" width="10" customWidth="1"/>
    <col min="11" max="11" width="25" customWidth="1"/>
    <col min="12" max="12" width="10" customWidth="1"/>
    <col min="13" max="13" width="25" customWidth="1"/>
  </cols>
  <sheetData>
    <row r="1" spans="1:13" x14ac:dyDescent="0.25">
      <c r="A1" s="6" t="s">
        <v>18</v>
      </c>
      <c r="B1" s="6" t="s">
        <v>19</v>
      </c>
      <c r="C1" s="6" t="s">
        <v>2</v>
      </c>
      <c r="D1" s="6" t="s">
        <v>20</v>
      </c>
      <c r="E1" s="6" t="s">
        <v>21</v>
      </c>
      <c r="F1" s="6" t="s">
        <v>22</v>
      </c>
      <c r="G1" s="6" t="s">
        <v>23</v>
      </c>
      <c r="H1" s="6" t="s">
        <v>24</v>
      </c>
      <c r="I1" s="6" t="s">
        <v>25</v>
      </c>
      <c r="J1" s="6" t="s">
        <v>26</v>
      </c>
      <c r="K1" s="6" t="s">
        <v>27</v>
      </c>
      <c r="L1" s="6" t="s">
        <v>28</v>
      </c>
      <c r="M1" s="6" t="s">
        <v>29</v>
      </c>
    </row>
    <row r="2" spans="1:13" x14ac:dyDescent="0.25">
      <c r="A2" s="7" t="s">
        <v>146</v>
      </c>
      <c r="B2" s="7" t="s">
        <v>141</v>
      </c>
      <c r="C2" s="7" t="s">
        <v>11</v>
      </c>
      <c r="D2" s="7" t="s">
        <v>32</v>
      </c>
      <c r="E2" s="7" t="s">
        <v>33</v>
      </c>
      <c r="F2" s="7" t="s">
        <v>34</v>
      </c>
      <c r="G2" s="7" t="s">
        <v>35</v>
      </c>
      <c r="H2" s="7" t="s">
        <v>36</v>
      </c>
      <c r="I2" s="7" t="s">
        <v>5</v>
      </c>
      <c r="J2" s="7" t="s">
        <v>37</v>
      </c>
      <c r="K2" s="7" t="s">
        <v>17</v>
      </c>
      <c r="L2" s="7" t="s">
        <v>17</v>
      </c>
      <c r="M2" s="7" t="s">
        <v>17</v>
      </c>
    </row>
    <row r="3" spans="1:13" x14ac:dyDescent="0.25">
      <c r="A3" s="7" t="s">
        <v>147</v>
      </c>
      <c r="B3" s="7" t="s">
        <v>148</v>
      </c>
      <c r="C3" s="7" t="s">
        <v>11</v>
      </c>
      <c r="D3" s="7" t="s">
        <v>149</v>
      </c>
      <c r="E3" s="7" t="s">
        <v>41</v>
      </c>
      <c r="F3" s="7" t="s">
        <v>150</v>
      </c>
      <c r="G3" s="7" t="s">
        <v>35</v>
      </c>
      <c r="H3" s="7" t="s">
        <v>151</v>
      </c>
      <c r="I3" s="7" t="s">
        <v>5</v>
      </c>
      <c r="J3" s="7" t="s">
        <v>37</v>
      </c>
      <c r="K3" s="7" t="s">
        <v>17</v>
      </c>
      <c r="L3" s="7" t="s">
        <v>17</v>
      </c>
      <c r="M3" s="7" t="s">
        <v>17</v>
      </c>
    </row>
    <row r="4" spans="1:13" x14ac:dyDescent="0.25">
      <c r="A4" s="7" t="s">
        <v>152</v>
      </c>
      <c r="B4" s="7" t="s">
        <v>153</v>
      </c>
      <c r="C4" s="7" t="s">
        <v>11</v>
      </c>
      <c r="D4" s="7" t="s">
        <v>154</v>
      </c>
      <c r="E4" s="7" t="s">
        <v>155</v>
      </c>
      <c r="F4" s="7" t="s">
        <v>156</v>
      </c>
      <c r="G4" s="7" t="s">
        <v>35</v>
      </c>
      <c r="H4" s="7" t="s">
        <v>157</v>
      </c>
      <c r="I4" s="7" t="s">
        <v>6</v>
      </c>
      <c r="J4" s="7" t="s">
        <v>37</v>
      </c>
      <c r="K4" s="7" t="s">
        <v>17</v>
      </c>
      <c r="L4" s="7" t="s">
        <v>17</v>
      </c>
      <c r="M4" s="7" t="s">
        <v>17</v>
      </c>
    </row>
    <row r="5" spans="1:13" x14ac:dyDescent="0.25">
      <c r="A5" s="7" t="s">
        <v>158</v>
      </c>
      <c r="B5" s="7" t="s">
        <v>159</v>
      </c>
      <c r="C5" s="7" t="s">
        <v>11</v>
      </c>
      <c r="D5" s="7" t="s">
        <v>160</v>
      </c>
      <c r="E5" s="7" t="s">
        <v>155</v>
      </c>
      <c r="F5" s="7" t="s">
        <v>161</v>
      </c>
      <c r="G5" s="7" t="s">
        <v>162</v>
      </c>
      <c r="H5" s="7" t="s">
        <v>163</v>
      </c>
      <c r="I5" s="7" t="s">
        <v>5</v>
      </c>
      <c r="J5" s="7" t="s">
        <v>37</v>
      </c>
      <c r="K5" s="7" t="s">
        <v>17</v>
      </c>
      <c r="L5" s="7" t="s">
        <v>17</v>
      </c>
      <c r="M5" s="7" t="s">
        <v>17</v>
      </c>
    </row>
    <row r="6" spans="1:13" x14ac:dyDescent="0.25">
      <c r="A6" s="7" t="s">
        <v>164</v>
      </c>
      <c r="B6" s="7" t="s">
        <v>165</v>
      </c>
      <c r="C6" s="7" t="s">
        <v>11</v>
      </c>
      <c r="D6" s="7" t="s">
        <v>166</v>
      </c>
      <c r="E6" s="7" t="s">
        <v>167</v>
      </c>
      <c r="F6" s="7" t="s">
        <v>168</v>
      </c>
      <c r="G6" s="7" t="s">
        <v>169</v>
      </c>
      <c r="H6" s="7" t="s">
        <v>170</v>
      </c>
      <c r="I6" s="7" t="s">
        <v>5</v>
      </c>
      <c r="J6" s="7" t="s">
        <v>37</v>
      </c>
      <c r="K6" s="7" t="s">
        <v>17</v>
      </c>
      <c r="L6" s="7" t="s">
        <v>17</v>
      </c>
      <c r="M6" s="7" t="s">
        <v>17</v>
      </c>
    </row>
    <row r="7" spans="1:13" x14ac:dyDescent="0.25">
      <c r="A7" s="7" t="s">
        <v>171</v>
      </c>
      <c r="B7" s="7" t="s">
        <v>172</v>
      </c>
      <c r="C7" s="7" t="s">
        <v>11</v>
      </c>
      <c r="D7" s="7" t="s">
        <v>173</v>
      </c>
      <c r="E7" s="7" t="s">
        <v>174</v>
      </c>
      <c r="F7" s="7" t="s">
        <v>175</v>
      </c>
      <c r="G7" s="7" t="s">
        <v>35</v>
      </c>
      <c r="H7" s="7" t="s">
        <v>176</v>
      </c>
      <c r="I7" s="7" t="s">
        <v>5</v>
      </c>
      <c r="J7" s="7" t="s">
        <v>37</v>
      </c>
      <c r="K7" s="7" t="s">
        <v>17</v>
      </c>
      <c r="L7" s="7" t="s">
        <v>17</v>
      </c>
      <c r="M7" s="7" t="s">
        <v>17</v>
      </c>
    </row>
    <row r="8" spans="1:13" x14ac:dyDescent="0.25">
      <c r="A8" s="7" t="s">
        <v>177</v>
      </c>
      <c r="B8" s="7" t="s">
        <v>178</v>
      </c>
      <c r="C8" s="7" t="s">
        <v>11</v>
      </c>
      <c r="D8" s="7" t="s">
        <v>179</v>
      </c>
      <c r="E8" s="7" t="s">
        <v>60</v>
      </c>
      <c r="F8" s="7" t="s">
        <v>180</v>
      </c>
      <c r="G8" s="7" t="s">
        <v>181</v>
      </c>
      <c r="H8" s="7" t="s">
        <v>182</v>
      </c>
      <c r="I8" s="7" t="s">
        <v>5</v>
      </c>
      <c r="J8" s="7" t="s">
        <v>37</v>
      </c>
      <c r="K8" s="7" t="s">
        <v>17</v>
      </c>
      <c r="L8" s="7" t="s">
        <v>17</v>
      </c>
      <c r="M8" s="7" t="s">
        <v>17</v>
      </c>
    </row>
    <row r="9" spans="1:13" x14ac:dyDescent="0.25">
      <c r="A9" s="7" t="s">
        <v>183</v>
      </c>
      <c r="B9" s="7" t="s">
        <v>184</v>
      </c>
      <c r="C9" s="7" t="s">
        <v>11</v>
      </c>
      <c r="D9" s="7" t="s">
        <v>185</v>
      </c>
      <c r="E9" s="7" t="s">
        <v>60</v>
      </c>
      <c r="F9" s="7" t="s">
        <v>186</v>
      </c>
      <c r="G9" s="7" t="s">
        <v>181</v>
      </c>
      <c r="H9" s="7" t="s">
        <v>187</v>
      </c>
      <c r="I9" s="7" t="s">
        <v>5</v>
      </c>
      <c r="J9" s="7" t="s">
        <v>37</v>
      </c>
      <c r="K9" s="7" t="s">
        <v>17</v>
      </c>
      <c r="L9" s="7" t="s">
        <v>17</v>
      </c>
      <c r="M9" s="7" t="s">
        <v>17</v>
      </c>
    </row>
    <row r="10" spans="1:13" x14ac:dyDescent="0.25">
      <c r="A10" s="7" t="s">
        <v>188</v>
      </c>
      <c r="B10" s="7" t="s">
        <v>189</v>
      </c>
      <c r="C10" s="7" t="s">
        <v>11</v>
      </c>
      <c r="D10" s="7" t="s">
        <v>190</v>
      </c>
      <c r="E10" s="7" t="s">
        <v>60</v>
      </c>
      <c r="F10" s="7" t="s">
        <v>191</v>
      </c>
      <c r="G10" s="7" t="s">
        <v>35</v>
      </c>
      <c r="H10" s="7" t="s">
        <v>192</v>
      </c>
      <c r="I10" s="7" t="s">
        <v>7</v>
      </c>
      <c r="J10" s="7" t="s">
        <v>37</v>
      </c>
      <c r="K10" s="7" t="s">
        <v>17</v>
      </c>
      <c r="L10" s="7" t="s">
        <v>17</v>
      </c>
      <c r="M10" s="7" t="s">
        <v>17</v>
      </c>
    </row>
    <row r="11" spans="1:13" x14ac:dyDescent="0.25">
      <c r="A11" s="7" t="s">
        <v>193</v>
      </c>
      <c r="B11" s="7" t="s">
        <v>194</v>
      </c>
      <c r="C11" s="7" t="s">
        <v>11</v>
      </c>
      <c r="D11" s="7" t="s">
        <v>195</v>
      </c>
      <c r="E11" s="7" t="s">
        <v>196</v>
      </c>
      <c r="F11" s="7" t="s">
        <v>197</v>
      </c>
      <c r="G11" s="7" t="s">
        <v>198</v>
      </c>
      <c r="H11" s="7" t="s">
        <v>199</v>
      </c>
      <c r="I11" s="7" t="s">
        <v>5</v>
      </c>
      <c r="J11" s="7" t="s">
        <v>37</v>
      </c>
      <c r="K11" s="7" t="s">
        <v>17</v>
      </c>
      <c r="L11" s="7" t="s">
        <v>17</v>
      </c>
      <c r="M11" s="7" t="s">
        <v>17</v>
      </c>
    </row>
    <row r="12" spans="1:13" x14ac:dyDescent="0.25">
      <c r="A12" s="7" t="s">
        <v>200</v>
      </c>
      <c r="B12" s="7" t="s">
        <v>201</v>
      </c>
      <c r="C12" s="7" t="s">
        <v>11</v>
      </c>
      <c r="D12" s="7" t="s">
        <v>202</v>
      </c>
      <c r="E12" s="7" t="s">
        <v>203</v>
      </c>
      <c r="F12" s="7" t="s">
        <v>204</v>
      </c>
      <c r="G12" s="7" t="s">
        <v>35</v>
      </c>
      <c r="H12" s="7" t="s">
        <v>205</v>
      </c>
      <c r="I12" s="7" t="s">
        <v>6</v>
      </c>
      <c r="J12" s="7" t="s">
        <v>37</v>
      </c>
      <c r="K12" s="7" t="s">
        <v>17</v>
      </c>
      <c r="L12" s="7" t="s">
        <v>17</v>
      </c>
      <c r="M12" s="7" t="s">
        <v>17</v>
      </c>
    </row>
    <row r="13" spans="1:13" x14ac:dyDescent="0.25">
      <c r="A13" s="7" t="s">
        <v>206</v>
      </c>
      <c r="B13" s="7" t="s">
        <v>207</v>
      </c>
      <c r="C13" s="7" t="s">
        <v>11</v>
      </c>
      <c r="D13" s="7" t="s">
        <v>208</v>
      </c>
      <c r="E13" s="7" t="s">
        <v>196</v>
      </c>
      <c r="F13" s="7" t="s">
        <v>209</v>
      </c>
      <c r="G13" s="7" t="s">
        <v>210</v>
      </c>
      <c r="H13" s="7" t="s">
        <v>211</v>
      </c>
      <c r="I13" s="7" t="s">
        <v>6</v>
      </c>
      <c r="J13" s="7" t="s">
        <v>37</v>
      </c>
      <c r="K13" s="7" t="s">
        <v>17</v>
      </c>
      <c r="L13" s="7" t="s">
        <v>17</v>
      </c>
      <c r="M13" s="7" t="s">
        <v>17</v>
      </c>
    </row>
    <row r="14" spans="1:13" x14ac:dyDescent="0.25">
      <c r="A14" s="7" t="s">
        <v>212</v>
      </c>
      <c r="B14" s="7" t="s">
        <v>213</v>
      </c>
      <c r="C14" s="7" t="s">
        <v>11</v>
      </c>
      <c r="D14" s="7" t="s">
        <v>214</v>
      </c>
      <c r="E14" s="7" t="s">
        <v>196</v>
      </c>
      <c r="F14" s="7" t="s">
        <v>215</v>
      </c>
      <c r="G14" s="7" t="s">
        <v>216</v>
      </c>
      <c r="H14" s="7" t="s">
        <v>217</v>
      </c>
      <c r="I14" s="7" t="s">
        <v>6</v>
      </c>
      <c r="J14" s="7" t="s">
        <v>37</v>
      </c>
      <c r="K14" s="7" t="s">
        <v>17</v>
      </c>
      <c r="L14" s="7" t="s">
        <v>17</v>
      </c>
      <c r="M14" s="7" t="s">
        <v>17</v>
      </c>
    </row>
    <row r="15" spans="1:13" x14ac:dyDescent="0.25">
      <c r="A15" s="7" t="s">
        <v>218</v>
      </c>
      <c r="B15" s="7" t="s">
        <v>219</v>
      </c>
      <c r="C15" s="7" t="s">
        <v>11</v>
      </c>
      <c r="D15" s="7" t="s">
        <v>220</v>
      </c>
      <c r="E15" s="7" t="s">
        <v>155</v>
      </c>
      <c r="F15" s="7" t="s">
        <v>221</v>
      </c>
      <c r="G15" s="7" t="s">
        <v>222</v>
      </c>
      <c r="H15" s="7" t="s">
        <v>223</v>
      </c>
      <c r="I15" s="7" t="s">
        <v>5</v>
      </c>
      <c r="J15" s="7" t="s">
        <v>37</v>
      </c>
      <c r="K15" s="7" t="s">
        <v>17</v>
      </c>
      <c r="L15" s="7" t="s">
        <v>17</v>
      </c>
      <c r="M15" s="7" t="s">
        <v>17</v>
      </c>
    </row>
  </sheetData>
  <autoFilter ref="A1:M1"/>
  <dataValidations count="1">
    <dataValidation type="list" allowBlank="1" sqref="L2:L15">
      <formula1>"Pass,Fail,Blocked,Skipped,Not Run"</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0" customWidth="1"/>
    <col min="3" max="3" width="12" customWidth="1"/>
    <col min="4" max="4" width="34" customWidth="1"/>
    <col min="5" max="5" width="30" customWidth="1"/>
    <col min="6" max="6" width="55" customWidth="1"/>
    <col min="7" max="7" width="24" customWidth="1"/>
    <col min="8" max="8" width="55" customWidth="1"/>
    <col min="10" max="10" width="10" customWidth="1"/>
    <col min="11" max="11" width="25" customWidth="1"/>
    <col min="12" max="12" width="10" customWidth="1"/>
    <col min="13" max="13" width="25" customWidth="1"/>
  </cols>
  <sheetData>
    <row r="1" spans="1:13" x14ac:dyDescent="0.25">
      <c r="A1" s="6" t="s">
        <v>18</v>
      </c>
      <c r="B1" s="6" t="s">
        <v>19</v>
      </c>
      <c r="C1" s="6" t="s">
        <v>2</v>
      </c>
      <c r="D1" s="6" t="s">
        <v>20</v>
      </c>
      <c r="E1" s="6" t="s">
        <v>21</v>
      </c>
      <c r="F1" s="6" t="s">
        <v>22</v>
      </c>
      <c r="G1" s="6" t="s">
        <v>23</v>
      </c>
      <c r="H1" s="6" t="s">
        <v>24</v>
      </c>
      <c r="I1" s="6" t="s">
        <v>25</v>
      </c>
      <c r="J1" s="6" t="s">
        <v>26</v>
      </c>
      <c r="K1" s="6" t="s">
        <v>27</v>
      </c>
      <c r="L1" s="6" t="s">
        <v>28</v>
      </c>
      <c r="M1" s="6" t="s">
        <v>29</v>
      </c>
    </row>
    <row r="2" spans="1:13" x14ac:dyDescent="0.25">
      <c r="A2" s="7" t="s">
        <v>224</v>
      </c>
      <c r="B2" s="7" t="s">
        <v>194</v>
      </c>
      <c r="C2" s="7" t="s">
        <v>13</v>
      </c>
      <c r="D2" s="7" t="s">
        <v>225</v>
      </c>
      <c r="E2" s="7" t="s">
        <v>226</v>
      </c>
      <c r="F2" s="7" t="s">
        <v>227</v>
      </c>
      <c r="G2" s="7" t="s">
        <v>35</v>
      </c>
      <c r="H2" s="7" t="s">
        <v>228</v>
      </c>
      <c r="I2" s="7" t="s">
        <v>5</v>
      </c>
      <c r="J2" s="7" t="s">
        <v>37</v>
      </c>
      <c r="K2" s="7" t="s">
        <v>17</v>
      </c>
      <c r="L2" s="7" t="s">
        <v>17</v>
      </c>
      <c r="M2" s="7" t="s">
        <v>17</v>
      </c>
    </row>
    <row r="3" spans="1:13" x14ac:dyDescent="0.25">
      <c r="A3" s="7" t="s">
        <v>229</v>
      </c>
      <c r="B3" s="7" t="s">
        <v>207</v>
      </c>
      <c r="C3" s="7" t="s">
        <v>13</v>
      </c>
      <c r="D3" s="7" t="s">
        <v>230</v>
      </c>
      <c r="E3" s="7" t="s">
        <v>231</v>
      </c>
      <c r="F3" s="7" t="s">
        <v>232</v>
      </c>
      <c r="G3" s="7" t="s">
        <v>35</v>
      </c>
      <c r="H3" s="7" t="s">
        <v>233</v>
      </c>
      <c r="I3" s="7" t="s">
        <v>5</v>
      </c>
      <c r="J3" s="7" t="s">
        <v>37</v>
      </c>
      <c r="K3" s="7" t="s">
        <v>17</v>
      </c>
      <c r="L3" s="7" t="s">
        <v>17</v>
      </c>
      <c r="M3" s="7" t="s">
        <v>17</v>
      </c>
    </row>
    <row r="4" spans="1:13" x14ac:dyDescent="0.25">
      <c r="A4" s="7" t="s">
        <v>234</v>
      </c>
      <c r="B4" s="7" t="s">
        <v>213</v>
      </c>
      <c r="C4" s="7" t="s">
        <v>13</v>
      </c>
      <c r="D4" s="7" t="s">
        <v>235</v>
      </c>
      <c r="E4" s="7" t="s">
        <v>236</v>
      </c>
      <c r="F4" s="7" t="s">
        <v>237</v>
      </c>
      <c r="G4" s="7" t="s">
        <v>35</v>
      </c>
      <c r="H4" s="7" t="s">
        <v>238</v>
      </c>
      <c r="I4" s="7" t="s">
        <v>5</v>
      </c>
      <c r="J4" s="7" t="s">
        <v>37</v>
      </c>
      <c r="K4" s="7" t="s">
        <v>17</v>
      </c>
      <c r="L4" s="7" t="s">
        <v>17</v>
      </c>
      <c r="M4" s="7" t="s">
        <v>17</v>
      </c>
    </row>
    <row r="5" spans="1:13" x14ac:dyDescent="0.25">
      <c r="A5" s="7" t="s">
        <v>239</v>
      </c>
      <c r="B5" s="7" t="s">
        <v>219</v>
      </c>
      <c r="C5" s="7" t="s">
        <v>13</v>
      </c>
      <c r="D5" s="7" t="s">
        <v>240</v>
      </c>
      <c r="E5" s="7" t="s">
        <v>241</v>
      </c>
      <c r="F5" s="7" t="s">
        <v>242</v>
      </c>
      <c r="G5" s="7" t="s">
        <v>35</v>
      </c>
      <c r="H5" s="7" t="s">
        <v>243</v>
      </c>
      <c r="I5" s="7" t="s">
        <v>5</v>
      </c>
      <c r="J5" s="7" t="s">
        <v>37</v>
      </c>
      <c r="K5" s="7" t="s">
        <v>17</v>
      </c>
      <c r="L5" s="7" t="s">
        <v>17</v>
      </c>
      <c r="M5" s="7" t="s">
        <v>17</v>
      </c>
    </row>
    <row r="6" spans="1:13" x14ac:dyDescent="0.25">
      <c r="A6" s="7" t="s">
        <v>244</v>
      </c>
      <c r="B6" s="7" t="s">
        <v>245</v>
      </c>
      <c r="C6" s="7" t="s">
        <v>13</v>
      </c>
      <c r="D6" s="7" t="s">
        <v>246</v>
      </c>
      <c r="E6" s="7" t="s">
        <v>241</v>
      </c>
      <c r="F6" s="7" t="s">
        <v>247</v>
      </c>
      <c r="G6" s="7" t="s">
        <v>35</v>
      </c>
      <c r="H6" s="7" t="s">
        <v>248</v>
      </c>
      <c r="I6" s="7" t="s">
        <v>7</v>
      </c>
      <c r="J6" s="7" t="s">
        <v>37</v>
      </c>
      <c r="K6" s="7" t="s">
        <v>17</v>
      </c>
      <c r="L6" s="7" t="s">
        <v>17</v>
      </c>
      <c r="M6" s="7" t="s">
        <v>17</v>
      </c>
    </row>
    <row r="7" spans="1:13" x14ac:dyDescent="0.25">
      <c r="A7" s="7" t="s">
        <v>249</v>
      </c>
      <c r="B7" s="7" t="s">
        <v>250</v>
      </c>
      <c r="C7" s="7" t="s">
        <v>13</v>
      </c>
      <c r="D7" s="7" t="s">
        <v>251</v>
      </c>
      <c r="E7" s="7" t="s">
        <v>241</v>
      </c>
      <c r="F7" s="7" t="s">
        <v>252</v>
      </c>
      <c r="G7" s="7" t="s">
        <v>35</v>
      </c>
      <c r="H7" s="7" t="s">
        <v>253</v>
      </c>
      <c r="I7" s="7" t="s">
        <v>7</v>
      </c>
      <c r="J7" s="7" t="s">
        <v>37</v>
      </c>
      <c r="K7" s="7" t="s">
        <v>17</v>
      </c>
      <c r="L7" s="7" t="s">
        <v>17</v>
      </c>
      <c r="M7" s="7" t="s">
        <v>17</v>
      </c>
    </row>
    <row r="8" spans="1:13" x14ac:dyDescent="0.25">
      <c r="A8" s="7" t="s">
        <v>254</v>
      </c>
      <c r="B8" s="7" t="s">
        <v>255</v>
      </c>
      <c r="C8" s="7" t="s">
        <v>13</v>
      </c>
      <c r="D8" s="7" t="s">
        <v>256</v>
      </c>
      <c r="E8" s="7" t="s">
        <v>257</v>
      </c>
      <c r="F8" s="7" t="s">
        <v>258</v>
      </c>
      <c r="G8" s="7" t="s">
        <v>35</v>
      </c>
      <c r="H8" s="7" t="s">
        <v>259</v>
      </c>
      <c r="I8" s="7" t="s">
        <v>5</v>
      </c>
      <c r="J8" s="7" t="s">
        <v>37</v>
      </c>
      <c r="K8" s="7" t="s">
        <v>17</v>
      </c>
      <c r="L8" s="7" t="s">
        <v>17</v>
      </c>
      <c r="M8" s="7" t="s">
        <v>17</v>
      </c>
    </row>
    <row r="9" spans="1:13" x14ac:dyDescent="0.25">
      <c r="A9" s="7" t="s">
        <v>260</v>
      </c>
      <c r="B9" s="7" t="s">
        <v>261</v>
      </c>
      <c r="C9" s="7" t="s">
        <v>13</v>
      </c>
      <c r="D9" s="7" t="s">
        <v>262</v>
      </c>
      <c r="E9" s="7" t="s">
        <v>263</v>
      </c>
      <c r="F9" s="7" t="s">
        <v>264</v>
      </c>
      <c r="G9" s="7" t="s">
        <v>35</v>
      </c>
      <c r="H9" s="7" t="s">
        <v>265</v>
      </c>
      <c r="I9" s="7" t="s">
        <v>5</v>
      </c>
      <c r="J9" s="7" t="s">
        <v>37</v>
      </c>
      <c r="K9" s="7" t="s">
        <v>17</v>
      </c>
      <c r="L9" s="7" t="s">
        <v>17</v>
      </c>
      <c r="M9" s="7" t="s">
        <v>17</v>
      </c>
    </row>
    <row r="10" spans="1:13" x14ac:dyDescent="0.25">
      <c r="A10" s="7" t="s">
        <v>266</v>
      </c>
      <c r="B10" s="7" t="s">
        <v>267</v>
      </c>
      <c r="C10" s="7" t="s">
        <v>13</v>
      </c>
      <c r="D10" s="7" t="s">
        <v>268</v>
      </c>
      <c r="E10" s="7" t="s">
        <v>269</v>
      </c>
      <c r="F10" s="7" t="s">
        <v>270</v>
      </c>
      <c r="G10" s="7" t="s">
        <v>35</v>
      </c>
      <c r="H10" s="7" t="s">
        <v>271</v>
      </c>
      <c r="I10" s="7" t="s">
        <v>6</v>
      </c>
      <c r="J10" s="7" t="s">
        <v>37</v>
      </c>
      <c r="K10" s="7" t="s">
        <v>17</v>
      </c>
      <c r="L10" s="7" t="s">
        <v>17</v>
      </c>
      <c r="M10" s="7" t="s">
        <v>17</v>
      </c>
    </row>
    <row r="11" spans="1:13" x14ac:dyDescent="0.25">
      <c r="A11" s="7" t="s">
        <v>272</v>
      </c>
      <c r="B11" s="7" t="s">
        <v>273</v>
      </c>
      <c r="C11" s="7" t="s">
        <v>13</v>
      </c>
      <c r="D11" s="7" t="s">
        <v>274</v>
      </c>
      <c r="E11" s="7" t="s">
        <v>269</v>
      </c>
      <c r="F11" s="7" t="s">
        <v>275</v>
      </c>
      <c r="G11" s="7" t="s">
        <v>35</v>
      </c>
      <c r="H11" s="7" t="s">
        <v>276</v>
      </c>
      <c r="I11" s="7" t="s">
        <v>6</v>
      </c>
      <c r="J11" s="7" t="s">
        <v>37</v>
      </c>
      <c r="K11" s="7" t="s">
        <v>17</v>
      </c>
      <c r="L11" s="7" t="s">
        <v>17</v>
      </c>
      <c r="M11" s="7" t="s">
        <v>17</v>
      </c>
    </row>
    <row r="12" spans="1:13" x14ac:dyDescent="0.25">
      <c r="A12" s="7" t="s">
        <v>277</v>
      </c>
      <c r="B12" s="7" t="s">
        <v>278</v>
      </c>
      <c r="C12" s="7" t="s">
        <v>13</v>
      </c>
      <c r="D12" s="7" t="s">
        <v>279</v>
      </c>
      <c r="E12" s="7" t="s">
        <v>269</v>
      </c>
      <c r="F12" s="7" t="s">
        <v>280</v>
      </c>
      <c r="G12" s="7" t="s">
        <v>35</v>
      </c>
      <c r="H12" s="7" t="s">
        <v>281</v>
      </c>
      <c r="I12" s="7" t="s">
        <v>6</v>
      </c>
      <c r="J12" s="7" t="s">
        <v>37</v>
      </c>
      <c r="K12" s="7" t="s">
        <v>17</v>
      </c>
      <c r="L12" s="7" t="s">
        <v>17</v>
      </c>
      <c r="M12" s="7" t="s">
        <v>17</v>
      </c>
    </row>
  </sheetData>
  <autoFilter ref="A1:M1"/>
  <dataValidations count="1">
    <dataValidation type="list" allowBlank="1" sqref="L2:L12">
      <formula1>"Pass,Fail,Blocked,Skipped,Not Run"</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0" customWidth="1"/>
    <col min="3" max="3" width="12" customWidth="1"/>
    <col min="4" max="4" width="34" customWidth="1"/>
    <col min="5" max="5" width="30" customWidth="1"/>
    <col min="6" max="6" width="55" customWidth="1"/>
    <col min="7" max="7" width="24" customWidth="1"/>
    <col min="8" max="8" width="55" customWidth="1"/>
    <col min="10" max="10" width="10" customWidth="1"/>
    <col min="11" max="11" width="25" customWidth="1"/>
    <col min="12" max="12" width="10" customWidth="1"/>
    <col min="13" max="13" width="25" customWidth="1"/>
  </cols>
  <sheetData>
    <row r="1" spans="1:13" x14ac:dyDescent="0.25">
      <c r="A1" s="6" t="s">
        <v>18</v>
      </c>
      <c r="B1" s="6" t="s">
        <v>19</v>
      </c>
      <c r="C1" s="6" t="s">
        <v>2</v>
      </c>
      <c r="D1" s="6" t="s">
        <v>20</v>
      </c>
      <c r="E1" s="6" t="s">
        <v>21</v>
      </c>
      <c r="F1" s="6" t="s">
        <v>22</v>
      </c>
      <c r="G1" s="6" t="s">
        <v>23</v>
      </c>
      <c r="H1" s="6" t="s">
        <v>24</v>
      </c>
      <c r="I1" s="6" t="s">
        <v>25</v>
      </c>
      <c r="J1" s="6" t="s">
        <v>26</v>
      </c>
      <c r="K1" s="6" t="s">
        <v>27</v>
      </c>
      <c r="L1" s="6" t="s">
        <v>28</v>
      </c>
      <c r="M1" s="6" t="s">
        <v>29</v>
      </c>
    </row>
    <row r="2" spans="1:13" x14ac:dyDescent="0.25">
      <c r="A2" s="7" t="s">
        <v>282</v>
      </c>
      <c r="B2" s="7" t="s">
        <v>283</v>
      </c>
      <c r="C2" s="7" t="s">
        <v>15</v>
      </c>
      <c r="D2" s="7" t="s">
        <v>32</v>
      </c>
      <c r="E2" s="7" t="s">
        <v>33</v>
      </c>
      <c r="F2" s="7" t="s">
        <v>34</v>
      </c>
      <c r="G2" s="7" t="s">
        <v>35</v>
      </c>
      <c r="H2" s="7" t="s">
        <v>36</v>
      </c>
      <c r="I2" s="7" t="s">
        <v>5</v>
      </c>
      <c r="J2" s="7" t="s">
        <v>37</v>
      </c>
      <c r="K2" s="7" t="s">
        <v>17</v>
      </c>
      <c r="L2" s="7" t="s">
        <v>17</v>
      </c>
      <c r="M2" s="7" t="s">
        <v>17</v>
      </c>
    </row>
    <row r="3" spans="1:13" x14ac:dyDescent="0.25">
      <c r="A3" s="7" t="s">
        <v>284</v>
      </c>
      <c r="B3" s="7" t="s">
        <v>285</v>
      </c>
      <c r="C3" s="7" t="s">
        <v>15</v>
      </c>
      <c r="D3" s="7" t="s">
        <v>286</v>
      </c>
      <c r="E3" s="7" t="s">
        <v>41</v>
      </c>
      <c r="F3" s="7" t="s">
        <v>287</v>
      </c>
      <c r="G3" s="7" t="s">
        <v>35</v>
      </c>
      <c r="H3" s="7" t="s">
        <v>288</v>
      </c>
      <c r="I3" s="7" t="s">
        <v>5</v>
      </c>
      <c r="J3" s="7" t="s">
        <v>37</v>
      </c>
      <c r="K3" s="7" t="s">
        <v>17</v>
      </c>
      <c r="L3" s="7" t="s">
        <v>17</v>
      </c>
      <c r="M3" s="7" t="s">
        <v>17</v>
      </c>
    </row>
    <row r="4" spans="1:13" x14ac:dyDescent="0.25">
      <c r="A4" s="7" t="s">
        <v>289</v>
      </c>
      <c r="B4" s="7" t="s">
        <v>290</v>
      </c>
      <c r="C4" s="7" t="s">
        <v>15</v>
      </c>
      <c r="D4" s="7" t="s">
        <v>291</v>
      </c>
      <c r="E4" s="7" t="s">
        <v>292</v>
      </c>
      <c r="F4" s="7" t="s">
        <v>293</v>
      </c>
      <c r="G4" s="7" t="s">
        <v>35</v>
      </c>
      <c r="H4" s="7" t="s">
        <v>294</v>
      </c>
      <c r="I4" s="7" t="s">
        <v>6</v>
      </c>
      <c r="J4" s="7" t="s">
        <v>37</v>
      </c>
      <c r="K4" s="7" t="s">
        <v>17</v>
      </c>
      <c r="L4" s="7" t="s">
        <v>17</v>
      </c>
      <c r="M4" s="7" t="s">
        <v>17</v>
      </c>
    </row>
    <row r="5" spans="1:13" x14ac:dyDescent="0.25">
      <c r="A5" s="7" t="s">
        <v>295</v>
      </c>
      <c r="B5" s="7" t="s">
        <v>296</v>
      </c>
      <c r="C5" s="7" t="s">
        <v>15</v>
      </c>
      <c r="D5" s="7" t="s">
        <v>297</v>
      </c>
      <c r="E5" s="7" t="s">
        <v>298</v>
      </c>
      <c r="F5" s="7" t="s">
        <v>299</v>
      </c>
      <c r="G5" s="7" t="s">
        <v>35</v>
      </c>
      <c r="H5" s="7" t="s">
        <v>300</v>
      </c>
      <c r="I5" s="7" t="s">
        <v>6</v>
      </c>
      <c r="J5" s="7" t="s">
        <v>37</v>
      </c>
      <c r="K5" s="7" t="s">
        <v>17</v>
      </c>
      <c r="L5" s="7" t="s">
        <v>17</v>
      </c>
      <c r="M5" s="7" t="s">
        <v>17</v>
      </c>
    </row>
    <row r="6" spans="1:13" x14ac:dyDescent="0.25">
      <c r="A6" s="7" t="s">
        <v>301</v>
      </c>
      <c r="B6" s="7" t="s">
        <v>302</v>
      </c>
      <c r="C6" s="7" t="s">
        <v>15</v>
      </c>
      <c r="D6" s="7" t="s">
        <v>303</v>
      </c>
      <c r="E6" s="7" t="s">
        <v>298</v>
      </c>
      <c r="F6" s="7" t="s">
        <v>304</v>
      </c>
      <c r="G6" s="7" t="s">
        <v>35</v>
      </c>
      <c r="H6" s="7" t="s">
        <v>305</v>
      </c>
      <c r="I6" s="7" t="s">
        <v>5</v>
      </c>
      <c r="J6" s="7" t="s">
        <v>37</v>
      </c>
      <c r="K6" s="7" t="s">
        <v>17</v>
      </c>
      <c r="L6" s="7" t="s">
        <v>17</v>
      </c>
      <c r="M6" s="7" t="s">
        <v>17</v>
      </c>
    </row>
    <row r="7" spans="1:13" x14ac:dyDescent="0.25">
      <c r="A7" s="7" t="s">
        <v>306</v>
      </c>
      <c r="B7" s="7" t="s">
        <v>307</v>
      </c>
      <c r="C7" s="7" t="s">
        <v>15</v>
      </c>
      <c r="D7" s="7" t="s">
        <v>308</v>
      </c>
      <c r="E7" s="7" t="s">
        <v>309</v>
      </c>
      <c r="F7" s="7" t="s">
        <v>310</v>
      </c>
      <c r="G7" s="7" t="s">
        <v>35</v>
      </c>
      <c r="H7" s="7" t="s">
        <v>311</v>
      </c>
      <c r="I7" s="7" t="s">
        <v>5</v>
      </c>
      <c r="J7" s="7" t="s">
        <v>37</v>
      </c>
      <c r="K7" s="7" t="s">
        <v>17</v>
      </c>
      <c r="L7" s="7" t="s">
        <v>17</v>
      </c>
      <c r="M7" s="7" t="s">
        <v>17</v>
      </c>
    </row>
    <row r="8" spans="1:13" x14ac:dyDescent="0.25">
      <c r="A8" s="7" t="s">
        <v>312</v>
      </c>
      <c r="B8" s="7" t="s">
        <v>313</v>
      </c>
      <c r="C8" s="7" t="s">
        <v>15</v>
      </c>
      <c r="D8" s="7" t="s">
        <v>314</v>
      </c>
      <c r="E8" s="7" t="s">
        <v>309</v>
      </c>
      <c r="F8" s="7" t="s">
        <v>315</v>
      </c>
      <c r="G8" s="7" t="s">
        <v>35</v>
      </c>
      <c r="H8" s="7" t="s">
        <v>316</v>
      </c>
      <c r="I8" s="7" t="s">
        <v>7</v>
      </c>
      <c r="J8" s="7" t="s">
        <v>37</v>
      </c>
      <c r="K8" s="7" t="s">
        <v>17</v>
      </c>
      <c r="L8" s="7" t="s">
        <v>17</v>
      </c>
      <c r="M8" s="7" t="s">
        <v>17</v>
      </c>
    </row>
    <row r="9" spans="1:13" x14ac:dyDescent="0.25">
      <c r="A9" s="7" t="s">
        <v>317</v>
      </c>
      <c r="B9" s="7" t="s">
        <v>318</v>
      </c>
      <c r="C9" s="7" t="s">
        <v>15</v>
      </c>
      <c r="D9" s="7" t="s">
        <v>319</v>
      </c>
      <c r="E9" s="7" t="s">
        <v>298</v>
      </c>
      <c r="F9" s="7" t="s">
        <v>320</v>
      </c>
      <c r="G9" s="7" t="s">
        <v>35</v>
      </c>
      <c r="H9" s="7" t="s">
        <v>321</v>
      </c>
      <c r="I9" s="7" t="s">
        <v>5</v>
      </c>
      <c r="J9" s="7" t="s">
        <v>37</v>
      </c>
      <c r="K9" s="7" t="s">
        <v>17</v>
      </c>
      <c r="L9" s="7" t="s">
        <v>17</v>
      </c>
      <c r="M9" s="7" t="s">
        <v>17</v>
      </c>
    </row>
    <row r="10" spans="1:13" x14ac:dyDescent="0.25">
      <c r="A10" s="7" t="s">
        <v>322</v>
      </c>
      <c r="B10" s="7" t="s">
        <v>323</v>
      </c>
      <c r="C10" s="7" t="s">
        <v>15</v>
      </c>
      <c r="D10" s="7" t="s">
        <v>324</v>
      </c>
      <c r="E10" s="7" t="s">
        <v>325</v>
      </c>
      <c r="F10" s="7" t="s">
        <v>310</v>
      </c>
      <c r="G10" s="7" t="s">
        <v>35</v>
      </c>
      <c r="H10" s="7" t="s">
        <v>311</v>
      </c>
      <c r="I10" s="7" t="s">
        <v>5</v>
      </c>
      <c r="J10" s="7" t="s">
        <v>37</v>
      </c>
      <c r="K10" s="7" t="s">
        <v>17</v>
      </c>
      <c r="L10" s="7" t="s">
        <v>17</v>
      </c>
      <c r="M10" s="7" t="s">
        <v>17</v>
      </c>
    </row>
    <row r="11" spans="1:13" x14ac:dyDescent="0.25">
      <c r="A11" s="7" t="s">
        <v>326</v>
      </c>
      <c r="B11" s="7" t="s">
        <v>327</v>
      </c>
      <c r="C11" s="7" t="s">
        <v>15</v>
      </c>
      <c r="D11" s="7" t="s">
        <v>328</v>
      </c>
      <c r="E11" s="7" t="s">
        <v>325</v>
      </c>
      <c r="F11" s="7" t="s">
        <v>329</v>
      </c>
      <c r="G11" s="7" t="s">
        <v>35</v>
      </c>
      <c r="H11" s="7" t="s">
        <v>330</v>
      </c>
      <c r="I11" s="7" t="s">
        <v>7</v>
      </c>
      <c r="J11" s="7" t="s">
        <v>37</v>
      </c>
      <c r="K11" s="7" t="s">
        <v>17</v>
      </c>
      <c r="L11" s="7" t="s">
        <v>17</v>
      </c>
      <c r="M11" s="7" t="s">
        <v>17</v>
      </c>
    </row>
    <row r="12" spans="1:13" x14ac:dyDescent="0.25">
      <c r="A12" s="7" t="s">
        <v>331</v>
      </c>
      <c r="B12" s="7" t="s">
        <v>332</v>
      </c>
      <c r="C12" s="7" t="s">
        <v>15</v>
      </c>
      <c r="D12" s="7" t="s">
        <v>333</v>
      </c>
      <c r="E12" s="7" t="s">
        <v>298</v>
      </c>
      <c r="F12" s="7" t="s">
        <v>334</v>
      </c>
      <c r="G12" s="7" t="s">
        <v>35</v>
      </c>
      <c r="H12" s="7" t="s">
        <v>335</v>
      </c>
      <c r="I12" s="7" t="s">
        <v>5</v>
      </c>
      <c r="J12" s="7" t="s">
        <v>37</v>
      </c>
      <c r="K12" s="7" t="s">
        <v>17</v>
      </c>
      <c r="L12" s="7" t="s">
        <v>17</v>
      </c>
      <c r="M12" s="7" t="s">
        <v>17</v>
      </c>
    </row>
    <row r="13" spans="1:13" x14ac:dyDescent="0.25">
      <c r="A13" s="7" t="s">
        <v>336</v>
      </c>
      <c r="B13" s="7" t="s">
        <v>337</v>
      </c>
      <c r="C13" s="7" t="s">
        <v>15</v>
      </c>
      <c r="D13" s="7" t="s">
        <v>338</v>
      </c>
      <c r="E13" s="7" t="s">
        <v>339</v>
      </c>
      <c r="F13" s="7" t="s">
        <v>310</v>
      </c>
      <c r="G13" s="7" t="s">
        <v>35</v>
      </c>
      <c r="H13" s="7" t="s">
        <v>311</v>
      </c>
      <c r="I13" s="7" t="s">
        <v>5</v>
      </c>
      <c r="J13" s="7" t="s">
        <v>37</v>
      </c>
      <c r="K13" s="7" t="s">
        <v>17</v>
      </c>
      <c r="L13" s="7" t="s">
        <v>17</v>
      </c>
      <c r="M13" s="7" t="s">
        <v>17</v>
      </c>
    </row>
    <row r="14" spans="1:13" x14ac:dyDescent="0.25">
      <c r="A14" s="7" t="s">
        <v>340</v>
      </c>
      <c r="B14" s="7" t="s">
        <v>341</v>
      </c>
      <c r="C14" s="7" t="s">
        <v>15</v>
      </c>
      <c r="D14" s="7" t="s">
        <v>342</v>
      </c>
      <c r="E14" s="7" t="s">
        <v>339</v>
      </c>
      <c r="F14" s="7" t="s">
        <v>343</v>
      </c>
      <c r="G14" s="7" t="s">
        <v>35</v>
      </c>
      <c r="H14" s="7" t="s">
        <v>344</v>
      </c>
      <c r="I14" s="7" t="s">
        <v>7</v>
      </c>
      <c r="J14" s="7" t="s">
        <v>37</v>
      </c>
      <c r="K14" s="7" t="s">
        <v>17</v>
      </c>
      <c r="L14" s="7" t="s">
        <v>17</v>
      </c>
      <c r="M14" s="7" t="s">
        <v>17</v>
      </c>
    </row>
    <row r="15" spans="1:13" x14ac:dyDescent="0.25">
      <c r="A15" s="7" t="s">
        <v>345</v>
      </c>
      <c r="B15" s="7" t="s">
        <v>346</v>
      </c>
      <c r="C15" s="7" t="s">
        <v>15</v>
      </c>
      <c r="D15" s="7" t="s">
        <v>347</v>
      </c>
      <c r="E15" s="7" t="s">
        <v>298</v>
      </c>
      <c r="F15" s="7" t="s">
        <v>191</v>
      </c>
      <c r="G15" s="7" t="s">
        <v>35</v>
      </c>
      <c r="H15" s="7" t="s">
        <v>348</v>
      </c>
      <c r="I15" s="7" t="s">
        <v>7</v>
      </c>
      <c r="J15" s="7" t="s">
        <v>37</v>
      </c>
      <c r="K15" s="7" t="s">
        <v>17</v>
      </c>
      <c r="L15" s="7" t="s">
        <v>17</v>
      </c>
      <c r="M15" s="7" t="s">
        <v>17</v>
      </c>
    </row>
    <row r="16" spans="1:13" x14ac:dyDescent="0.25">
      <c r="A16" s="7" t="s">
        <v>349</v>
      </c>
      <c r="B16" s="7" t="s">
        <v>350</v>
      </c>
      <c r="C16" s="7" t="s">
        <v>15</v>
      </c>
      <c r="D16" s="7" t="s">
        <v>351</v>
      </c>
      <c r="E16" s="7" t="s">
        <v>292</v>
      </c>
      <c r="F16" s="7" t="s">
        <v>352</v>
      </c>
      <c r="G16" s="7" t="s">
        <v>35</v>
      </c>
      <c r="H16" s="7" t="s">
        <v>353</v>
      </c>
      <c r="I16" s="7" t="s">
        <v>6</v>
      </c>
      <c r="J16" s="7" t="s">
        <v>37</v>
      </c>
      <c r="K16" s="7" t="s">
        <v>17</v>
      </c>
      <c r="L16" s="7" t="s">
        <v>17</v>
      </c>
      <c r="M16" s="7" t="s">
        <v>17</v>
      </c>
    </row>
    <row r="17" spans="1:13" x14ac:dyDescent="0.25">
      <c r="A17" s="7" t="s">
        <v>354</v>
      </c>
      <c r="B17" s="7" t="s">
        <v>355</v>
      </c>
      <c r="C17" s="7" t="s">
        <v>15</v>
      </c>
      <c r="D17" s="7" t="s">
        <v>356</v>
      </c>
      <c r="E17" s="7" t="s">
        <v>357</v>
      </c>
      <c r="F17" s="7" t="s">
        <v>358</v>
      </c>
      <c r="G17" s="7" t="s">
        <v>35</v>
      </c>
      <c r="H17" s="7" t="s">
        <v>359</v>
      </c>
      <c r="I17" s="7" t="s">
        <v>5</v>
      </c>
      <c r="J17" s="7" t="s">
        <v>37</v>
      </c>
      <c r="K17" s="7" t="s">
        <v>17</v>
      </c>
      <c r="L17" s="7" t="s">
        <v>17</v>
      </c>
      <c r="M17" s="7" t="s">
        <v>17</v>
      </c>
    </row>
    <row r="18" spans="1:13" x14ac:dyDescent="0.25">
      <c r="A18" s="7" t="s">
        <v>360</v>
      </c>
      <c r="B18" s="7" t="s">
        <v>361</v>
      </c>
      <c r="C18" s="7" t="s">
        <v>15</v>
      </c>
      <c r="D18" s="7" t="s">
        <v>362</v>
      </c>
      <c r="E18" s="7" t="s">
        <v>357</v>
      </c>
      <c r="F18" s="7" t="s">
        <v>191</v>
      </c>
      <c r="G18" s="7" t="s">
        <v>35</v>
      </c>
      <c r="H18" s="7" t="s">
        <v>348</v>
      </c>
      <c r="I18" s="7" t="s">
        <v>7</v>
      </c>
      <c r="J18" s="7" t="s">
        <v>37</v>
      </c>
      <c r="K18" s="7" t="s">
        <v>17</v>
      </c>
      <c r="L18" s="7" t="s">
        <v>17</v>
      </c>
      <c r="M18" s="7" t="s">
        <v>17</v>
      </c>
    </row>
    <row r="19" spans="1:13" x14ac:dyDescent="0.25">
      <c r="A19" s="7" t="s">
        <v>363</v>
      </c>
      <c r="B19" s="7" t="s">
        <v>364</v>
      </c>
      <c r="C19" s="7" t="s">
        <v>15</v>
      </c>
      <c r="D19" s="7" t="s">
        <v>365</v>
      </c>
      <c r="E19" s="7" t="s">
        <v>292</v>
      </c>
      <c r="F19" s="7" t="s">
        <v>366</v>
      </c>
      <c r="G19" s="7" t="s">
        <v>35</v>
      </c>
      <c r="H19" s="7" t="s">
        <v>367</v>
      </c>
      <c r="I19" s="7" t="s">
        <v>6</v>
      </c>
      <c r="J19" s="7" t="s">
        <v>37</v>
      </c>
      <c r="K19" s="7" t="s">
        <v>17</v>
      </c>
      <c r="L19" s="7" t="s">
        <v>17</v>
      </c>
      <c r="M19" s="7" t="s">
        <v>17</v>
      </c>
    </row>
    <row r="20" spans="1:13" x14ac:dyDescent="0.25">
      <c r="A20" s="7" t="s">
        <v>368</v>
      </c>
      <c r="B20" s="7" t="s">
        <v>369</v>
      </c>
      <c r="C20" s="7" t="s">
        <v>15</v>
      </c>
      <c r="D20" s="7" t="s">
        <v>370</v>
      </c>
      <c r="E20" s="7" t="s">
        <v>371</v>
      </c>
      <c r="F20" s="7" t="s">
        <v>372</v>
      </c>
      <c r="G20" s="7" t="s">
        <v>35</v>
      </c>
      <c r="H20" s="7" t="s">
        <v>373</v>
      </c>
      <c r="I20" s="7" t="s">
        <v>6</v>
      </c>
      <c r="J20" s="7" t="s">
        <v>37</v>
      </c>
      <c r="K20" s="7" t="s">
        <v>17</v>
      </c>
      <c r="L20" s="7" t="s">
        <v>17</v>
      </c>
      <c r="M20" s="7" t="s">
        <v>17</v>
      </c>
    </row>
    <row r="21" spans="1:13" x14ac:dyDescent="0.25">
      <c r="A21" s="7" t="s">
        <v>374</v>
      </c>
      <c r="B21" s="7" t="s">
        <v>375</v>
      </c>
      <c r="C21" s="7" t="s">
        <v>15</v>
      </c>
      <c r="D21" s="7" t="s">
        <v>376</v>
      </c>
      <c r="E21" s="7" t="s">
        <v>292</v>
      </c>
      <c r="F21" s="7" t="s">
        <v>377</v>
      </c>
      <c r="G21" s="7" t="s">
        <v>35</v>
      </c>
      <c r="H21" s="7" t="s">
        <v>378</v>
      </c>
      <c r="I21" s="7" t="s">
        <v>5</v>
      </c>
      <c r="J21" s="7" t="s">
        <v>37</v>
      </c>
      <c r="K21" s="7" t="s">
        <v>17</v>
      </c>
      <c r="L21" s="7" t="s">
        <v>17</v>
      </c>
      <c r="M21" s="7" t="s">
        <v>17</v>
      </c>
    </row>
    <row r="22" spans="1:13" x14ac:dyDescent="0.25">
      <c r="A22" s="7" t="s">
        <v>379</v>
      </c>
      <c r="B22" s="7" t="s">
        <v>380</v>
      </c>
      <c r="C22" s="7" t="s">
        <v>15</v>
      </c>
      <c r="D22" s="7" t="s">
        <v>381</v>
      </c>
      <c r="E22" s="7" t="s">
        <v>382</v>
      </c>
      <c r="F22" s="7" t="s">
        <v>191</v>
      </c>
      <c r="G22" s="7" t="s">
        <v>35</v>
      </c>
      <c r="H22" s="7" t="s">
        <v>348</v>
      </c>
      <c r="I22" s="7" t="s">
        <v>7</v>
      </c>
      <c r="J22" s="7" t="s">
        <v>37</v>
      </c>
      <c r="K22" s="7" t="s">
        <v>17</v>
      </c>
      <c r="L22" s="7" t="s">
        <v>17</v>
      </c>
      <c r="M22" s="7" t="s">
        <v>17</v>
      </c>
    </row>
  </sheetData>
  <autoFilter ref="A1:M1"/>
  <dataValidations count="1">
    <dataValidation type="list" allowBlank="1" sqref="L2:L22">
      <formula1>"Pass,Fail,Blocked,Skipped,Not Run"</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Home</vt:lpstr>
      <vt:lpstr>Explore</vt:lpstr>
      <vt:lpstr>Portfolio</vt:lpstr>
      <vt:lpstr>Accounts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dc:creator>
  <dc:title/>
  <dc:subject/>
  <dc:description/>
  <cp:keywords/>
  <cp:category/>
  <cp:lastModifiedBy>Unknown</cp:lastModifiedBy>
  <dcterms:created xsi:type="dcterms:W3CDTF">2026-09-29T04:06:24Z</dcterms:created>
  <dcterms:modified xsi:type="dcterms:W3CDTF">2026-09-29T04:06:24Z</dcterms:modified>
</cp:coreProperties>
</file>